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215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wjddu\Desktop\"/>
    </mc:Choice>
  </mc:AlternateContent>
  <x:bookViews>
    <x:workbookView xWindow="0" yWindow="0" windowWidth="12510" windowHeight="11060" tabRatio="500"/>
  </x:bookViews>
  <x:sheets>
    <x:sheet name="단어_품사_빈도수_결과" sheetId="1" r:id="rId4"/>
    <x:sheet name="Sheet1" sheetId="2" r:id="rId5"/>
  </x:sheets>
  <x:definedNames>
    <x:definedName name="_xlnm._FilterDatabase" localSheetId="0" hidden="1">단어_품사_빈도수_결과!$B$1:$B$392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<x:sst xmlns:r="http://schemas.openxmlformats.org/officeDocument/2006/relationships" xmlns:c="http://schemas.openxmlformats.org/drawingml/2006/chart" xmlns:x="http://schemas.openxmlformats.org/spreadsheetml/2006/main" count="879" uniqueCount="394">
  <x:si>
    <x:t>일식후 기대총빈도</x:t>
  </x:si>
  <x:si>
    <x:t>일식후비정상빈도합</x:t>
  </x:si>
  <x:si>
    <x:t>일식전 기대총빈도</x:t>
  </x:si>
  <x:si>
    <x:t>일식후기대총빈도합</x:t>
  </x:si>
  <x:si>
    <x:t>일식전기대총빈도합</x:t>
  </x:si>
  <x:si>
    <x:t>일식전비정상빈도합</x:t>
  </x:si>
  <x:si>
    <x:t>태미</x:t>
  </x:si>
  <x:si>
    <x:t>이거</x:t>
  </x:si>
  <x:si>
    <x:t>맹</x:t>
  </x:si>
  <x:si>
    <x:t>OH</x:t>
  </x:si>
  <x:si>
    <x:t>JKC</x:t>
  </x:si>
  <x:si>
    <x:t>마리</x:t>
  </x:si>
  <x:si>
    <x:t>도로</x:t>
  </x:si>
  <x:si>
    <x:t>우리</x:t>
  </x:si>
  <x:si>
    <x:t>중립</x:t>
  </x:si>
  <x:si>
    <x:t>엄격히</x:t>
  </x:si>
  <x:si>
    <x:t>상태</x:t>
  </x:si>
  <x:si>
    <x:t>채</x:t>
  </x:si>
  <x:si>
    <x:t>긍정</x:t>
  </x:si>
  <x:si>
    <x:t>대로</x:t>
  </x:si>
  <x:si>
    <x:t>함부로</x:t>
  </x:si>
  <x:si>
    <x:t>강무하</x:t>
  </x:si>
  <x:si>
    <x:t>새</x:t>
  </x:si>
  <x:si>
    <x:t>ㄴ다는</x:t>
  </x:si>
  <x:si>
    <x:t>응패</x:t>
  </x:si>
  <x:si>
    <x:t>소홀히</x:t>
  </x:si>
  <x:si>
    <x:t>조금</x:t>
  </x:si>
  <x:si>
    <x:t>대비</x:t>
  </x:si>
  <x:si>
    <x:t>봉하</x:t>
  </x:si>
  <x:si>
    <x:t>급제</x:t>
  </x:si>
  <x:si>
    <x:t>때문</x:t>
  </x:si>
  <x:si>
    <x:t>감시</x:t>
  </x:si>
  <x:si>
    <x:t>파하</x:t>
  </x:si>
  <x:si>
    <x:t>계</x:t>
  </x:si>
  <x:si>
    <x:t>석</x:t>
  </x:si>
  <x:si>
    <x:t>없이</x:t>
  </x:si>
  <x:si>
    <x:t>노희봉</x:t>
  </x:si>
  <x:si>
    <x:t>한강</x:t>
  </x:si>
  <x:si>
    <x:t>먼저</x:t>
  </x:si>
  <x:si>
    <x:t>계룡산</x:t>
  </x:si>
  <x:si>
    <x:t>칭</x:t>
  </x:si>
  <x:si>
    <x:t>탁</x:t>
  </x:si>
  <x:si>
    <x:t>뽑</x:t>
  </x:si>
  <x:si>
    <x:t>음</x:t>
  </x:si>
  <x:si>
    <x:t>과죄하</x:t>
  </x:si>
  <x:si>
    <x:t>곶</x:t>
  </x:si>
  <x:si>
    <x:t>참형</x:t>
  </x:si>
  <x:si>
    <x:t>녕</x:t>
  </x:si>
  <x:si>
    <x:t>략</x:t>
  </x:si>
  <x:si>
    <x:t>경기도</x:t>
  </x:si>
  <x:si>
    <x:t>편하</x:t>
  </x:si>
  <x:si>
    <x:t>저절로</x:t>
  </x:si>
  <x:si>
    <x:t>폐지</x:t>
  </x:si>
  <x:si>
    <x:t>마천</x:t>
  </x:si>
  <x:si>
    <x:t>문려</x:t>
  </x:si>
  <x:si>
    <x:t>살피</x:t>
  </x:si>
  <x:si>
    <x:t>사면</x:t>
  </x:si>
  <x:si>
    <x:t>및</x:t>
  </x:si>
  <x:si>
    <x:t>평</x:t>
  </x:si>
  <x:si>
    <x:t>친히</x:t>
  </x:si>
  <x:si>
    <x:t>처벌</x:t>
  </x:si>
  <x:si>
    <x:t>천</x:t>
  </x:si>
  <x:si>
    <x:t>강원도</x:t>
  </x:si>
  <x:si>
    <x:t>등지</x:t>
  </x:si>
  <x:si>
    <x:t>토록</x:t>
  </x:si>
  <x:si>
    <x:t>고려</x:t>
  </x:si>
  <x:si>
    <x:t>며</x:t>
  </x:si>
  <x:si>
    <x:t>다가</x:t>
  </x:si>
  <x:si>
    <x:t>려</x:t>
  </x:si>
  <x:si>
    <x:t>자</x:t>
  </x:si>
  <x:si>
    <x:t>무</x:t>
  </x:si>
  <x:si>
    <x:t>혁파</x:t>
  </x:si>
  <x:si>
    <x:t>용서</x:t>
  </x:si>
  <x:si>
    <x:t>여러</x:t>
  </x:si>
  <x:si>
    <x:t>묻</x:t>
  </x:si>
  <x:si>
    <x:t>만들</x:t>
  </x:si>
  <x:si>
    <x:t>못하</x:t>
  </x:si>
  <x:si>
    <x:t>VX</x:t>
  </x:si>
  <x:si>
    <x:t>으나</x:t>
  </x:si>
  <x:si>
    <x:t>진도</x:t>
  </x:si>
  <x:si>
    <x:t>더</x:t>
  </x:si>
  <x:si>
    <x:t>정릉</x:t>
  </x:si>
  <x:si>
    <x:t>각각</x:t>
  </x:si>
  <x:si>
    <x:t>상정</x:t>
  </x:si>
  <x:si>
    <x:t>다시</x:t>
  </x:si>
  <x:si>
    <x:t>크</x:t>
  </x:si>
  <x:si>
    <x:t>몰래</x:t>
  </x:si>
  <x:si>
    <x:t>촌</x:t>
  </x:si>
  <x:si>
    <x:t>함께</x:t>
  </x:si>
  <x:si>
    <x:t>백</x:t>
  </x:si>
  <x:si>
    <x:t>상서</x:t>
  </x:si>
  <x:si>
    <x:t>까지</x:t>
  </x:si>
  <x:si>
    <x:t>각</x:t>
  </x:si>
  <x:si>
    <x:t>씨</x:t>
  </x:si>
  <x:si>
    <x:t>씩</x:t>
  </x:si>
  <x:si>
    <x:t>순</x:t>
  </x:si>
  <x:si>
    <x:t>논하</x:t>
  </x:si>
  <x:si>
    <x:t>거듭</x:t>
  </x:si>
  <x:si>
    <x:t>모두</x:t>
  </x:si>
  <x:si>
    <x:t>라고</x:t>
  </x:si>
  <x:si>
    <x:t>원</x:t>
  </x:si>
  <x:si>
    <x:t>물</x:t>
  </x:si>
  <x:si>
    <x:t>허</x:t>
  </x:si>
  <x:si>
    <x:t>월</x:t>
  </x:si>
  <x:si>
    <x:t>필</x:t>
  </x:si>
  <x:si>
    <x:t>논죄</x:t>
  </x:si>
  <x:si>
    <x:t>귀양</x:t>
  </x:si>
  <x:si>
    <x:t>제수</x:t>
  </x:si>
  <x:si>
    <x:t>진휼</x:t>
  </x:si>
  <x:si>
    <x:t>ㅁ</x:t>
  </x:si>
  <x:si>
    <x:t>라</x:t>
  </x:si>
  <x:si>
    <x:t>개성</x:t>
  </x:si>
  <x:si>
    <x:t>XR</x:t>
  </x:si>
  <x:si>
    <x:t>중</x:t>
  </x:si>
  <x:si>
    <x:t>거두</x:t>
  </x:si>
  <x:si>
    <x:t>만</x:t>
  </x:si>
  <x:si>
    <x:t>행하</x:t>
  </x:si>
  <x:si>
    <x:t>천호</x:t>
  </x:si>
  <x:si>
    <x:t>그</x:t>
  </x:si>
  <x:si>
    <x:t>량</x:t>
  </x:si>
  <x:si>
    <x:t>결</x:t>
  </x:si>
  <x:si>
    <x:t>봉</x:t>
  </x:si>
  <x:si>
    <x:t>용</x:t>
  </x:si>
  <x:si>
    <x:t>붉</x:t>
  </x:si>
  <x:si>
    <x:t>년</x:t>
  </x:si>
  <x:si>
    <x:t>개</x:t>
  </x:si>
  <x:si>
    <x:t>대신</x:t>
  </x:si>
  <x:si>
    <x:t>므로</x:t>
  </x:si>
  <x:si>
    <x:t>러</x:t>
  </x:si>
  <x:si>
    <x:t>면제</x:t>
  </x:si>
  <x:si>
    <x:t>왜</x:t>
  </x:si>
  <x:si>
    <x:t>경</x:t>
  </x:si>
  <x:si>
    <x:t>세</x:t>
  </x:si>
  <x:si>
    <x:t>파면</x:t>
  </x:si>
  <x:si>
    <x:t>어서</x:t>
  </x:si>
  <x:si>
    <x:t>겸</x:t>
  </x:si>
  <x:si>
    <x:t>대</x:t>
  </x:si>
  <x:si>
    <x:t>았</x:t>
  </x:si>
  <x:si>
    <x:t>기로</x:t>
  </x:si>
  <x:si>
    <x:t>면서</x:t>
  </x:si>
  <x:si>
    <x:t>부터</x:t>
  </x:si>
  <x:si>
    <x:t>영흥</x:t>
  </x:si>
  <x:si>
    <x:t>하여금</x:t>
  </x:si>
  <x:si>
    <x:t>잘못</x:t>
  </x:si>
  <x:si>
    <x:t>곤장</x:t>
  </x:si>
  <x:si>
    <x:t>두</x:t>
  </x:si>
  <x:si>
    <x:t>감찰</x:t>
  </x:si>
  <x:si>
    <x:t>다고</x:t>
  </x:si>
  <x:si>
    <x:t>아니하</x:t>
  </x:si>
  <x:si>
    <x:t>평양</x:t>
  </x:si>
  <x:si>
    <x:t>달</x:t>
  </x:si>
  <x:si>
    <x:t>VA</x:t>
  </x:si>
  <x:si>
    <x:t>제</x:t>
  </x:si>
  <x:si>
    <x:t>품사</x:t>
  </x:si>
  <x:si>
    <x:t>를</x:t>
  </x:si>
  <x:si>
    <x:t>》</x:t>
  </x:si>
  <x:si>
    <x:t>온이</x:t>
  </x:si>
  <x:si>
    <x:t>XPN</x:t>
  </x:si>
  <x:si>
    <x:t>검</x:t>
  </x:si>
  <x:si>
    <x:t>금하</x:t>
  </x:si>
  <x:si>
    <x:t>UN</x:t>
  </x:si>
  <x:si>
    <x:t>다</x:t>
  </x:si>
  <x:si>
    <x:t>ㄴ</x:t>
  </x:si>
  <x:si>
    <x:t>하</x:t>
  </x:si>
  <x:si>
    <x:t>JKG</x:t>
  </x:si>
  <x:si>
    <x:t>EFN</x:t>
  </x:si>
  <x:si>
    <x:t>황희</x:t>
  </x:si>
  <x:si>
    <x:t>단어</x:t>
  </x:si>
  <x:si>
    <x:t>을</x:t>
  </x:si>
  <x:si>
    <x:t>《</x:t>
  </x:si>
  <x:si>
    <x:t>금</x:t>
  </x:si>
  <x:si>
    <x:t>탄핵</x:t>
  </x:si>
  <x:si>
    <x:t>윤허</x:t>
  </x:si>
  <x:si>
    <x:t>JKM</x:t>
  </x:si>
  <x:si>
    <x:t>빈도수</x:t>
  </x:si>
  <x:si>
    <x:t>XSV</x:t>
  </x:si>
  <x:si>
    <x:t>파직</x:t>
  </x:si>
  <x:si>
    <x:t>의</x:t>
  </x:si>
  <x:si>
    <x:t>JKS</x:t>
  </x:si>
  <x:si>
    <x:t>ETD</x:t>
  </x:si>
  <x:si>
    <x:t>이</x:t>
  </x:si>
  <x:si>
    <x:t>법</x:t>
  </x:si>
  <x:si>
    <x:t>서</x:t>
  </x:si>
  <x:si>
    <x:t>최</x:t>
  </x:si>
  <x:si>
    <x:t>척</x:t>
  </x:si>
  <x:si>
    <x:t>것</x:t>
  </x:si>
  <x:si>
    <x:t>은</x:t>
  </x:si>
  <x:si>
    <x:t>ECE</x:t>
  </x:si>
  <x:si>
    <x:t>에</x:t>
  </x:si>
  <x:si>
    <x:t>에게</x:t>
  </x:si>
  <x:si>
    <x:t>·</x:t>
  </x:si>
  <x:si>
    <x:t>,</x:t>
  </x:si>
  <x:si>
    <x:t>명하</x:t>
  </x:si>
  <x:si>
    <x:t>여</x:t>
  </x:si>
  <x:si>
    <x:t>XSA</x:t>
  </x:si>
  <x:si>
    <x:t>에서</x:t>
  </x:si>
  <x:si>
    <x:t>로</x:t>
  </x:si>
  <x:si>
    <x:t>ECD</x:t>
  </x:si>
  <x:si>
    <x:t>가</x:t>
  </x:si>
  <x:si>
    <x:t>도록</x:t>
  </x:si>
  <x:si>
    <x:t>SP</x:t>
  </x:si>
  <x:si>
    <x:t>NNB</x:t>
  </x:si>
  <x:si>
    <x:t>어</x:t>
  </x:si>
  <x:si>
    <x:t>ECS</x:t>
  </x:si>
  <x:si>
    <x:t>VV</x:t>
  </x:si>
  <x:si>
    <x:t>등</x:t>
  </x:si>
  <x:si>
    <x:t>JKO</x:t>
  </x:si>
  <x:si>
    <x:t>으로</x:t>
  </x:si>
  <x:si>
    <x:t>과</x:t>
  </x:si>
  <x:si>
    <x:t>청하</x:t>
  </x:si>
  <x:si>
    <x:t>ㄹ</x:t>
  </x:si>
  <x:si>
    <x:t>보</x:t>
  </x:si>
  <x:si>
    <x:t>는</x:t>
  </x:si>
  <x:si>
    <x:t>게</x:t>
  </x:si>
  <x:si>
    <x:t>고</x:t>
  </x:si>
  <x:si>
    <x:t>NNP</x:t>
  </x:si>
  <x:si>
    <x:t>하다</x:t>
  </x:si>
  <x:si>
    <x:t>VXV</x:t>
  </x:si>
  <x:si>
    <x:t>아</x:t>
  </x:si>
  <x:si>
    <x:t>전</x:t>
  </x:si>
  <x:si>
    <x:t>건의</x:t>
  </x:si>
  <x:si>
    <x:t>니</x:t>
  </x:si>
  <x:si>
    <x:t>ETN</x:t>
  </x:si>
  <x:si>
    <x:t>JC</x:t>
  </x:si>
  <x:si>
    <x:t>하사</x:t>
  </x:si>
  <x:si>
    <x:t>XSN</x:t>
  </x:si>
  <x:si>
    <x:t>기</x:t>
  </x:si>
  <x:si>
    <x:t>NP</x:t>
  </x:si>
  <x:si>
    <x:t>와</x:t>
  </x:si>
  <x:si>
    <x:t>.</x:t>
  </x:si>
  <x:si>
    <x:t>나</x:t>
  </x:si>
  <x:si>
    <x:t>올리</x:t>
  </x:si>
  <x:si>
    <x:t>도</x:t>
  </x:si>
  <x:si>
    <x:t>(</x:t>
  </x:si>
  <x:si>
    <x:t>)</x:t>
  </x:si>
  <x:si>
    <x:t>내</x:t>
  </x:si>
  <x:si>
    <x:t>바치</x:t>
  </x:si>
  <x:si>
    <x:t>SS</x:t>
  </x:si>
  <x:si>
    <x:t>베풀</x:t>
  </x:si>
  <x:si>
    <x:t>VCP</x:t>
  </x:si>
  <x:si>
    <x:t>들</x:t>
  </x:si>
  <x:si>
    <x:t>NR</x:t>
  </x:si>
  <x:si>
    <x:t>시키</x:t>
  </x:si>
  <x:si>
    <x:t>주</x:t>
  </x:si>
  <x:si>
    <x:t>상소</x:t>
  </x:si>
  <x:si>
    <x:t>지</x:t>
  </x:si>
  <x:si>
    <x:t>리다</x:t>
  </x:si>
  <x:si>
    <x:t>SF</x:t>
  </x:si>
  <x:si>
    <x:t>NNG</x:t>
  </x:si>
  <x:si>
    <x:t>징수</x:t>
  </x:si>
  <x:si>
    <x:t>생</x:t>
  </x:si>
  <x:si>
    <x:t>임명</x:t>
  </x:si>
  <x:si>
    <x:t>JX</x:t>
  </x:si>
  <x:si>
    <x:t>가두</x:t>
  </x:si>
  <x:si>
    <x:t>말</x:t>
  </x:si>
  <x:si>
    <x:t>있</x:t>
  </x:si>
  <x:si>
    <x:t>하여</x:t>
  </x:si>
  <x:si>
    <x:t>잔치</x:t>
  </x:si>
  <x:si>
    <x:t>한</x:t>
  </x:si>
  <x:si>
    <x:t>MDN</x:t>
  </x:si>
  <x:si>
    <x:t>의논</x:t>
  </x:si>
  <x:si>
    <x:t>정하</x:t>
  </x:si>
  <x:si>
    <x:t>안</x:t>
  </x:si>
  <x:si>
    <x:t>성</x:t>
  </x:si>
  <x:si>
    <x:t>아서</x:t>
  </x:si>
  <x:si>
    <x:t>아뢰</x:t>
  </x:si>
  <x:si>
    <x:t>MAG</x:t>
  </x:si>
  <x:si>
    <x:t>이내</x:t>
  </x:si>
  <x:si>
    <x:t>오</x:t>
  </x:si>
  <x:si>
    <x:t>되</x:t>
  </x:si>
  <x:si>
    <x:t>EPT</x:t>
  </x:si>
  <x:si>
    <x:t>명</x:t>
  </x:si>
  <x:si>
    <x:t>었</x:t>
  </x:si>
  <x:si>
    <x:t>우</x:t>
  </x:si>
  <x:si>
    <x:t>잘</x:t>
  </x:si>
  <x:si>
    <x:t>일</x:t>
  </x:si>
  <x:si>
    <x:t>않</x:t>
  </x:si>
  <x:si>
    <x:t>NNM</x:t>
  </x:si>
  <x:si>
    <x:t>MDT</x:t>
  </x:si>
  <x:si>
    <x:t>권</x:t>
  </x:si>
  <x:si>
    <x:t>적</x:t>
  </x:si>
  <x:si>
    <x:t>개편</x:t>
  </x:si>
  <x:si>
    <x:t>고는</x:t>
  </x:si>
  <x:si>
    <x:t>으러</x:t>
  </x:si>
  <x:si>
    <x:t>더욱</x:t>
  </x:si>
  <x:si>
    <x:t>없</x:t>
  </x:si>
  <x:si>
    <x:t>겸하</x:t>
  </x:si>
  <x:si>
    <x:t>겠</x:t>
  </x:si>
  <x:si>
    <x:t>치르</x:t>
  </x:si>
  <x:si>
    <x:t>례</x:t>
  </x:si>
  <x:si>
    <x:t>상소문</x:t>
  </x:si>
  <x:si>
    <x:t>이에</x:t>
  </x:si>
  <x:si>
    <x:t>aaf</x:t>
  </x:si>
  <x:si>
    <x:t>늦</x:t>
  </x:si>
  <x:si>
    <x:t>둘째</x:t>
  </x:si>
  <x:si>
    <x:t>바르</x:t>
  </x:si>
  <x:si>
    <x:t>經行</x:t>
  </x:si>
  <x:si>
    <x:t>겸직</x:t>
  </x:si>
  <x:si>
    <x:t>심하</x:t>
  </x:si>
  <x:si>
    <x:t>질</x:t>
  </x:si>
  <x:si>
    <x:t>뢰</x:t>
  </x:si>
  <x:si>
    <x:t>곤</x:t>
  </x:si>
  <x:si>
    <x:t>랑</x:t>
  </x:si>
  <x:si>
    <x:t>우도</x:t>
  </x:si>
  <x:si>
    <x:t>같</x:t>
  </x:si>
  <x:si>
    <x:t>으며</x:t>
  </x:si>
  <x:si>
    <x:t>차</x:t>
  </x:si>
  <x:si>
    <x:t>삭</x:t>
  </x:si>
  <x:si>
    <x:t>익</x:t>
  </x:si>
  <x:si>
    <x:t>부정</x:t>
  </x:si>
  <x:si>
    <x:t>취각령</x:t>
  </x:si>
  <x:si>
    <x:t>북면</x:t>
  </x:si>
  <x:si>
    <x:t>만하</x:t>
  </x:si>
  <x:si>
    <x:t>삼아</x:t>
  </x:si>
  <x:si>
    <x:t>화을</x:t>
  </x:si>
  <x:si>
    <x:t>가납</x:t>
  </x:si>
  <x:si>
    <x:t>南巡</x:t>
  </x:si>
  <x:si>
    <x:t>오히려</x:t>
  </x:si>
  <x:si>
    <x:t>장차</x:t>
  </x:si>
  <x:si>
    <x:t>고만</x:t>
  </x:si>
  <x:si>
    <x:t>府</x:t>
  </x:si>
  <x:si>
    <x:t>서천군</x:t>
  </x:si>
  <x:si>
    <x:t>이무</x:t>
  </x:si>
  <x:si>
    <x:t>무마</x:t>
  </x:si>
  <x:si>
    <x:t>숙위</x:t>
  </x:si>
  <x:si>
    <x:t>해임</x:t>
  </x:si>
  <x:si>
    <x:t>세우</x:t>
  </x:si>
  <x:si>
    <x:t>어도</x:t>
  </x:si>
  <x:si>
    <x:t>전혀</x:t>
  </x:si>
  <x:si>
    <x:t>려시</x:t>
  </x:si>
  <x:si>
    <x:t>옮기</x:t>
  </x:si>
  <x:si>
    <x:t>간택</x:t>
  </x:si>
  <x:si>
    <x:t>안되</x:t>
  </x:si>
  <x:si>
    <x:t>김영렬</x:t>
  </x:si>
  <x:si>
    <x:t>신를</x:t>
  </x:si>
  <x:si>
    <x:t>여간</x:t>
  </x:si>
  <x:si>
    <x:t>JKQ</x:t>
  </x:si>
  <x:si>
    <x:t>성엄</x:t>
  </x:si>
  <x:si>
    <x:t>면</x:t>
  </x:si>
  <x:si>
    <x:t>량를</x:t>
  </x:si>
  <x:si>
    <x:t>양주군</x:t>
  </x:si>
  <x:si>
    <x:t>納徵使</x:t>
  </x:si>
  <x:si>
    <x:t>이라</x:t>
  </x:si>
  <x:si>
    <x:t>서로</x:t>
  </x:si>
  <x:si>
    <x:t>김섭</x:t>
  </x:si>
  <x:si>
    <x:t>는지</x:t>
  </x:si>
  <x:si>
    <x:t>보살피</x:t>
  </x:si>
  <x:si>
    <x:t>다스리</x:t>
  </x:si>
  <x:si>
    <x:t>이르</x:t>
  </x:si>
  <x:si>
    <x:t>원영</x:t>
  </x:si>
  <x:si>
    <x:t>구하</x:t>
  </x:si>
  <x:si>
    <x:t>충주</x:t>
  </x:si>
  <x:si>
    <x:t>배사하</x:t>
  </x:si>
  <x:si>
    <x:t>번다</x:t>
  </x:si>
  <x:si>
    <x:t>三覆法</x:t>
  </x:si>
  <x:si>
    <x:t>등에게</x:t>
  </x:si>
  <x:si>
    <x:t>개소</x:t>
  </x:si>
  <x:si>
    <x:t>희천</x:t>
  </x:si>
  <x:si>
    <x:t>개혁</x:t>
  </x:si>
  <x:si>
    <x:t>익이</x:t>
  </x:si>
  <x:si>
    <x:t>ㄴ다</x:t>
  </x:si>
  <x:si>
    <x:t>좋</x:t>
  </x:si>
  <x:si>
    <x:t>숙빈으</x:t>
  </x:si>
  <x:si>
    <x:t>앞서</x:t>
  </x:si>
  <x:si>
    <x:t>監</x:t>
  </x:si>
  <x:si>
    <x:t>규찰</x:t>
  </x:si>
  <x:si>
    <x:t>부르</x:t>
  </x:si>
  <x:si>
    <x:t>내리</x:t>
  </x:si>
  <x:si>
    <x:t>女孫</x:t>
  </x:si>
  <x:si>
    <x:t>숭의</x:t>
  </x:si>
  <x:si>
    <x:t>寺</x:t>
  </x:si>
  <x:si>
    <x:t>훙</x:t>
  </x:si>
  <x:si>
    <x:t>가득</x:t>
  </x:si>
  <x:si>
    <x:t>貞宗</x:t>
  </x:si>
  <x:si>
    <x:t>영동</x:t>
  </x:si>
  <x:si>
    <x:t>태조 2년 3월 2일</x:t>
  </x:si>
  <x:si>
    <x:t>마음대로</x:t>
  </x:si>
  <x:si>
    <x:t>비정상빈도</x:t>
  </x:si>
  <x:si>
    <x:t>오랑합족</x:t>
  </x:si>
  <x:si>
    <x:t>기대빈도</x:t>
  </x:si>
  <x:si>
    <x:t>지형조사 장연이 노비 쟁송에 대한 교지가 내려진 이후 오히려 번다해졌다고 상언하니, 사헌부를 시켜 조사케 하다</x:t>
  </x:si>
  <x:si>
    <x:t>도당에서 임금을 위하여 시좌궁에서 잔치를 베풀다</x:t>
  </x:si>
  <x:si>
    <x:t>○_監務_取決按廉使, 壞其縣_, 修緝官舍。 僧錄司啓聞, 上欲加罪乃止, 徵布五百匹, 命還其任。</x:t>
  </x:si>
  <x:si>
    <x:t>본문내용_한문_원문_마스킹</x:t>
  </x:si>
  <x:si>
    <x:t>야광사를 허물고 관사를 수즙한 죄로 죽주 감무 박부에게 베 5백 필을 징수하다</x:t>
  </x:si>
  <x:si>
    <x:t>ID</x:t>
  </x:si>
  <x:si>
    <x:t>발행일</x:t>
  </x:si>
  <x:si>
    <x:t>○丁未/知刑曹事_等上言:</x:t>
  </x:si>
  <x:si>
    <x:t>태조 2년 3월 1일</x:t>
  </x:si>
  <x:si>
    <x:t>○丙午朔/都評議使司享上于時座宮。</x:t>
  </x:si>
  <x:si>
    <x:t>waa_10203002_001</x:t>
  </x:si>
  <x:si>
    <x:t>waa_10203001_001</x:t>
  </x:si>
  <x:si>
    <x:t>기사제목</x:t>
  </x:si>
  <x:si>
    <x:t>waa_10203001_002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</x:si>
</x:sst>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6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  <x:fill>
      <x:patternFill patternType="solid">
        <x:fgColor rgb="ff6182d6"/>
        <x:bgColor indexed="64"/>
      </x:patternFill>
    </x:fill>
    <x:fill>
      <x:patternFill patternType="solid">
        <x:fgColor rgb="ffffceb0"/>
        <x:bgColor indexed="64"/>
      </x:patternFill>
    </x:fill>
    <x:fill>
      <x:patternFill patternType="solid">
        <x:fgColor rgb="ffffffff"/>
        <x:bgColor indexed="64"/>
      </x:patternFill>
    </x:fill>
  </x:fills>
  <x:borders count="6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>
        <x:color auto="1"/>
      </x:bottom>
    </x:border>
    <x:border>
      <x:left style="thin">
        <x:color rgb="ff000000"/>
      </x:left>
      <x:right style="thin">
        <x:color rgb="ff000000"/>
      </x:right>
      <x:top>
        <x:color auto="1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4">
    <x:xf numFmtId="0" fontId="0" fillId="0" borderId="0" xfId="1">
      <x:alignment horizontal="general" vertical="center"/>
    </x:xf>
    <x:xf numFmtId="0" fontId="0" fillId="2" borderId="0" xfId="1" applyFill="1">
      <x:alignment horizontal="general" vertical="center"/>
    </x:xf>
    <x:xf numFmtId="0" fontId="0" fillId="3" borderId="0" xfId="1" applyFill="1">
      <x:alignment horizontal="general" vertical="center"/>
    </x:xf>
    <x:xf numFmtId="0" fontId="0" fillId="4" borderId="0" xfId="1" applyFill="1">
      <x:alignment horizontal="general" vertical="center"/>
    </x:xf>
    <x:xf numFmtId="0" fontId="0" fillId="0" borderId="1" xfId="1" applyBorder="1">
      <x:alignment horizontal="general" vertical="center"/>
    </x:xf>
    <x:xf numFmtId="0" fontId="0" fillId="2" borderId="1" xfId="1" applyFill="1" applyBorder="1">
      <x:alignment horizontal="general" vertical="center"/>
    </x:xf>
    <x:xf numFmtId="0" fontId="0" fillId="3" borderId="1" xfId="1" applyFill="1" applyBorder="1">
      <x:alignment horizontal="general" vertical="center"/>
    </x:xf>
    <x:xf numFmtId="0" fontId="0" fillId="4" borderId="1" xfId="1" applyFill="1" applyBorder="1">
      <x:alignment horizontal="general" vertical="center"/>
    </x:xf>
    <x:xf numFmtId="0" fontId="0" fillId="0" borderId="2" xfId="1" applyBorder="1">
      <x:alignment horizontal="general" vertical="center"/>
    </x:xf>
    <x:xf numFmtId="0" fontId="0" fillId="2" borderId="2" xfId="1" applyFill="1" applyBorder="1">
      <x:alignment horizontal="general" vertical="center"/>
    </x:xf>
    <x:xf numFmtId="0" fontId="0" fillId="3" borderId="2" xfId="1" applyFill="1" applyBorder="1">
      <x:alignment horizontal="general" vertical="center"/>
    </x:xf>
    <x:xf numFmtId="0" fontId="0" fillId="4" borderId="2" xfId="1" applyFill="1" applyBorder="1">
      <x:alignment horizontal="general" vertical="center"/>
    </x:xf>
    <x:xf numFmtId="0" fontId="0" fillId="5" borderId="3" xfId="0" applyNumberFormat="1" applyFont="1" applyFill="1" applyBorder="1" applyAlignment="1" applyProtection="1">
      <x:alignment horizontal="general" vertical="center"/>
    </x:xf>
    <x:xf numFmtId="0" fontId="0" fillId="2" borderId="0" xfId="1" applyNumberFormat="1" applyFont="1" applyFill="1" applyBorder="1" applyAlignment="1" applyProtection="1">
      <x:alignment horizontal="general" vertical="center"/>
    </x:xf>
    <x:xf numFmtId="0" fontId="0" fillId="2" borderId="0" xfId="1" applyFill="1" applyBorder="1">
      <x:alignment horizontal="general" vertical="center"/>
    </x:xf>
    <x:xf numFmtId="0" fontId="0" fillId="3" borderId="0" xfId="1" applyFill="1" applyBorder="1">
      <x:alignment horizontal="general" vertical="center"/>
    </x:xf>
    <x:xf numFmtId="0" fontId="0" fillId="4" borderId="0" xfId="1" applyFill="1" applyBorder="1">
      <x:alignment horizontal="general" vertical="center"/>
    </x:xf>
    <x:xf numFmtId="0" fontId="0" fillId="0" borderId="0" xfId="1" applyFill="1">
      <x:alignment horizontal="general" vertical="center"/>
    </x:xf>
    <x:xf numFmtId="0" fontId="0" fillId="0" borderId="3" xfId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3" xfId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" xfId="0" applyNumberFormat="1" applyFont="1" applyFill="1" applyBorder="1" applyAlignment="1" applyProtection="1">
          <x:alignment horizontal="center" vertical="center"/>
        </x:xf>
      </mc:Fallback>
    </mc:AlternateContent>
    <x:xf numFmtId="0" fontId="0" fillId="0" borderId="3" xfId="0" applyNumberFormat="1" applyFont="1" applyFill="1" applyBorder="1" applyAlignment="1" applyProtection="1">
      <x:alignment horizontal="general" vertical="center"/>
    </x:xf>
    <x:xf numFmtId="0" fontId="0" fillId="0" borderId="4" xfId="1" applyNumberFormat="1" applyFont="1" applyFill="1" applyBorder="1" applyAlignment="1" applyProtection="1">
      <x:alignment horizontal="general" vertical="center"/>
    </x:xf>
    <x:xf numFmtId="0" fontId="0" fillId="0" borderId="5" xfId="1" applyNumberFormat="1" applyFont="1" applyFill="1" applyBorder="1" applyAlignment="1" applyProtection="1">
      <x:alignment horizontal="general" vertical="center"/>
    </x:xf>
  </x:cellXfs>
  <x:cellStyles count="2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AG392"/>
  <x:sheetViews>
    <x:sheetView tabSelected="1" topLeftCell="A1" zoomScale="60" zoomScaleNormal="90" zoomScaleSheetLayoutView="60" workbookViewId="0">
      <x:selection activeCell="Q161" activeCellId="0" sqref="Q161:Q161"/>
    </x:sheetView>
  </x:sheetViews>
  <x:sheetFormatPr defaultColWidth="8.66015625" defaultRowHeight="16.39999999999999857891"/>
  <x:cols>
    <x:col min="3" max="3" width="6.62109375" bestFit="1" customWidth="1"/>
    <x:col min="5" max="5" width="12.6953125" bestFit="1" customWidth="1"/>
    <x:col min="6" max="6" width="16.62890625" bestFit="1" customWidth="1"/>
    <x:col min="7" max="7" width="13.06640625" style="4" bestFit="1" customWidth="1"/>
    <x:col min="8" max="8" width="16.24609375" customWidth="1"/>
    <x:col min="9" max="9" width="11.75" style="8" bestFit="1" customWidth="1"/>
    <x:col min="10" max="10" width="10.35546875" style="8" customWidth="1"/>
    <x:col min="11" max="11" width="8.66015625" style="17"/>
    <x:col min="12" max="12" width="17.83984375" style="17" bestFit="1" customWidth="1"/>
    <x:col min="13" max="13" width="12.41015625" style="17" bestFit="1" customWidth="1"/>
    <x:col min="14" max="14" width="13.4375" style="17" bestFit="1" customWidth="1"/>
    <x:col min="15" max="15" width="17.83984375" style="17" bestFit="1" customWidth="1"/>
    <x:col min="16" max="16" width="17.83984375" style="17" customWidth="1"/>
    <x:col min="17" max="17" width="12.359375" style="17" customWidth="1"/>
    <x:col min="18" max="33" width="8.66015625" style="17"/>
  </x:cols>
  <x:sheetData>
    <x:row r="1" spans="1:9">
      <x:c r="A1" t="s">
        <x:v>167</x:v>
      </x:c>
      <x:c r="B1" t="s">
        <x:v>153</x:v>
      </x:c>
      <x:c r="C1" t="s">
        <x:v>174</x:v>
      </x:c>
      <x:c r="D1" t="s">
        <x:v>16</x:v>
      </x:c>
      <x:c r="E1" t="s">
        <x:v>379</x:v>
      </x:c>
      <x:c r="F1" t="s">
        <x:v>2</x:v>
      </x:c>
      <x:c r="G1" s="4" t="s">
        <x:v>377</x:v>
      </x:c>
      <x:c r="H1" t="s">
        <x:v>0</x:v>
      </x:c>
      <x:c r="I1" s="8" t="s">
        <x:v>377</x:v>
      </x:c>
    </x:row>
    <x:row r="2" spans="1:33" hidden="1">
      <x:c r="A2" t="s">
        <x:v>168</x:v>
      </x:c>
      <x:c r="B2" t="s">
        <x:v>206</x:v>
      </x:c>
      <x:c r="C2">
        <x:v>326</x:v>
      </x:c>
      <x:c r="G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</x:row>
    <x:row r="3" spans="1:33" hidden="1">
      <x:c r="A3" t="s">
        <x:v>161</x:v>
      </x:c>
      <x:c r="B3" t="s">
        <x:v>165</x:v>
      </x:c>
      <x:c r="C3">
        <x:v>312</x:v>
      </x:c>
      <x:c r="G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</x:row>
    <x:row r="4" spans="1:33" hidden="1">
      <x:c r="A4" t="s">
        <x:v>188</x:v>
      </x:c>
      <x:c r="B4" t="s">
        <x:v>173</x:v>
      </x:c>
      <x:c r="C4">
        <x:v>196</x:v>
      </x:c>
      <x:c r="G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</x:row>
    <x:row r="5" spans="1:33" hidden="1">
      <x:c r="A5" t="s">
        <x:v>154</x:v>
      </x:c>
      <x:c r="B5" t="s">
        <x:v>206</x:v>
      </x:c>
      <x:c r="C5">
        <x:v>164</x:v>
      </x:c>
      <x:c r="G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</x:row>
    <x:row r="6" spans="1:33" hidden="1">
      <x:c r="A6" t="s">
        <x:v>163</x:v>
      </x:c>
      <x:c r="B6" t="s">
        <x:v>175</x:v>
      </x:c>
      <x:c r="C6">
        <x:v>154</x:v>
      </x:c>
      <x:c r="G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</x:row>
    <x:row r="7" spans="1:33" hidden="1">
      <x:c r="A7" t="s">
        <x:v>177</x:v>
      </x:c>
      <x:c r="B7" t="s">
        <x:v>164</x:v>
      </x:c>
      <x:c r="C7">
        <x:v>133</x:v>
      </x:c>
      <x:c r="G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</x:row>
    <x:row r="8" spans="1:33" hidden="1">
      <x:c r="A8" t="s">
        <x:v>180</x:v>
      </x:c>
      <x:c r="B8" t="s">
        <x:v>178</x:v>
      </x:c>
      <x:c r="C8">
        <x:v>118</x:v>
      </x:c>
      <x:c r="G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 spans="1:33" hidden="1">
      <x:c r="A9" t="s">
        <x:v>190</x:v>
      </x:c>
      <x:c r="B9" t="s">
        <x:v>200</x:v>
      </x:c>
      <x:c r="C9">
        <x:v>99</x:v>
      </x:c>
      <x:c r="G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 spans="1:33" hidden="1">
      <x:c r="A10" t="s">
        <x:v>195</x:v>
      </x:c>
      <x:c r="B10" t="s">
        <x:v>173</x:v>
      </x:c>
      <x:c r="C10">
        <x:v>94</x:v>
      </x:c>
      <x:c r="G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  <x:row r="11" spans="1:33" hidden="1">
      <x:c r="A11" t="s">
        <x:v>162</x:v>
      </x:c>
      <x:c r="B11" t="s">
        <x:v>179</x:v>
      </x:c>
      <x:c r="C11">
        <x:v>94</x:v>
      </x:c>
      <x:c r="G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</x:row>
    <x:row r="12" spans="1:33" hidden="1">
      <x:c r="A12" t="s">
        <x:v>163</x:v>
      </x:c>
      <x:c r="B12" t="s">
        <x:v>194</x:v>
      </x:c>
      <x:c r="C12">
        <x:v>86</x:v>
      </x:c>
      <x:c r="G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</x:row>
    <x:row r="13" spans="1:33" hidden="1">
      <x:c r="A13" t="s">
        <x:v>216</x:v>
      </x:c>
      <x:c r="B13" t="s">
        <x:v>215</x:v>
      </x:c>
      <x:c r="C13">
        <x:v>84</x:v>
      </x:c>
      <x:c r="G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</x:row>
    <x:row r="14" spans="1:33" hidden="1">
      <x:c r="A14" t="s">
        <x:v>205</x:v>
      </x:c>
      <x:c r="B14" t="s">
        <x:v>201</x:v>
      </x:c>
      <x:c r="C14">
        <x:v>65</x:v>
      </x:c>
      <x:c r="G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</x:row>
    <x:row r="15" spans="1:33" hidden="1">
      <x:c r="A15" t="s">
        <x:v>214</x:v>
      </x:c>
      <x:c r="B15" t="s">
        <x:v>187</x:v>
      </x:c>
      <x:c r="C15">
        <x:v>61</x:v>
      </x:c>
      <x:c r="G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</x:row>
    <x:row r="16" spans="1:33" hidden="1">
      <x:c r="A16" t="s">
        <x:v>189</x:v>
      </x:c>
      <x:c r="B16" t="s">
        <x:v>173</x:v>
      </x:c>
      <x:c r="C16">
        <x:v>56</x:v>
      </x:c>
      <x:c r="G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</x:row>
    <x:row r="17" spans="1:33" hidden="1">
      <x:c r="A17" t="s">
        <x:v>198</x:v>
      </x:c>
      <x:c r="B17" t="s">
        <x:v>178</x:v>
      </x:c>
      <x:c r="C17">
        <x:v>53</x:v>
      </x:c>
      <x:c r="G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</x:row>
    <x:row r="18" spans="1:33" hidden="1">
      <x:c r="A18" t="s">
        <x:v>202</x:v>
      </x:c>
      <x:c r="B18" t="s">
        <x:v>203</x:v>
      </x:c>
      <x:c r="C18">
        <x:v>48</x:v>
      </x:c>
      <x:c r="G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</x:row>
    <x:row r="19" spans="1:33" hidden="1">
      <x:c r="A19" t="s">
        <x:v>210</x:v>
      </x:c>
      <x:c r="B19" t="s">
        <x:v>179</x:v>
      </x:c>
      <x:c r="C19">
        <x:v>41</x:v>
      </x:c>
      <x:c r="G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</x:row>
    <x:row r="20" spans="1:33" hidden="1">
      <x:c r="A20" t="s">
        <x:v>213</x:v>
      </x:c>
      <x:c r="B20" t="s">
        <x:v>197</x:v>
      </x:c>
      <x:c r="C20">
        <x:v>40</x:v>
      </x:c>
      <x:c r="G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</x:row>
    <x:row r="21" spans="1:33" hidden="1">
      <x:c r="A21" t="s">
        <x:v>196</x:v>
      </x:c>
      <x:c r="B21" t="s">
        <x:v>173</x:v>
      </x:c>
      <x:c r="C21">
        <x:v>39</x:v>
      </x:c>
      <x:c r="G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</x:row>
    <x:row r="22" spans="1:33" hidden="1">
      <x:c r="A22" t="s">
        <x:v>212</x:v>
      </x:c>
      <x:c r="B22" t="s">
        <x:v>179</x:v>
      </x:c>
      <x:c r="C22">
        <x:v>38</x:v>
      </x:c>
      <x:c r="G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</x:row>
    <x:row r="23" spans="1:33" hidden="1">
      <x:c r="A23" t="s">
        <x:v>207</x:v>
      </x:c>
      <x:c r="B23" t="s">
        <x:v>173</x:v>
      </x:c>
      <x:c r="C23">
        <x:v>36</x:v>
      </x:c>
      <x:c r="G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</x:row>
    <x:row r="24" spans="1:33" hidden="1">
      <x:c r="A24" t="s">
        <x:v>191</x:v>
      </x:c>
      <x:c r="B24" t="s">
        <x:v>200</x:v>
      </x:c>
      <x:c r="C24">
        <x:v>32</x:v>
      </x:c>
      <x:c r="G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</x:row>
    <x:row r="25" spans="1:33" s="1" customFormat="1">
      <x:c r="A25" s="1" t="s">
        <x:v>209</x:v>
      </x:c>
      <x:c r="B25" s="1" t="s">
        <x:v>204</x:v>
      </x:c>
      <x:c r="C25" s="1">
        <x:v>30</x:v>
      </x:c>
      <x:c r="D25" s="1" t="s">
        <x:v>14</x:v>
      </x:c>
      <x:c r="E25" s="1">
        <x:f>(C25/315)</x:f>
        <x:v>0.095238095238095233</x:v>
      </x:c>
      <x:c r="F25" s="1">
        <x:f>E25*915</x:f>
        <x:v>87.142857142857139</x:v>
      </x:c>
      <x:c r="G25" s="5">
        <x:f>72-F25</x:f>
        <x:v>-15.142857142857139</x:v>
      </x:c>
      <x:c r="H25" s="1">
        <x:f>E25*315</x:f>
        <x:v>30</x:v>
      </x:c>
      <x:c r="I25" s="9">
        <x:f>30-H25</x:f>
        <x:v>0</x:v>
      </x:c>
      <x:c r="J25" s="14"/>
      <x:c r="K25" s="17"/>
      <x:c r="L25" s="17"/>
      <x:c r="M25" s="17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7"/>
      <x:c r="AA25" s="17"/>
      <x:c r="AB25" s="17"/>
      <x:c r="AC25" s="17"/>
      <x:c r="AD25" s="17"/>
      <x:c r="AE25" s="17"/>
      <x:c r="AF25" s="17"/>
      <x:c r="AG25" s="17"/>
    </x:row>
    <x:row r="26" spans="1:33" hidden="1">
      <x:c r="A26" t="s">
        <x:v>185</x:v>
      </x:c>
      <x:c r="B26" t="s">
        <x:v>201</x:v>
      </x:c>
      <x:c r="C26">
        <x:v>27</x:v>
      </x:c>
      <x:c r="G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</x:row>
    <x:row r="27" spans="1:33" hidden="1">
      <x:c r="A27" t="s">
        <x:v>180</x:v>
      </x:c>
      <x:c r="B27" t="s">
        <x:v>239</x:v>
      </x:c>
      <x:c r="C27">
        <x:v>24</x:v>
      </x:c>
      <x:c r="G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</x:row>
    <x:row r="28" spans="1:33" hidden="1">
      <x:c r="A28" t="s">
        <x:v>242</x:v>
      </x:c>
      <x:c r="B28" t="s">
        <x:v>175</x:v>
      </x:c>
      <x:c r="C28">
        <x:v>22</x:v>
      </x:c>
      <x:c r="G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</x:row>
    <x:row r="29" spans="1:33" hidden="1">
      <x:c r="A29" t="s">
        <x:v>221</x:v>
      </x:c>
      <x:c r="B29" t="s">
        <x:v>197</x:v>
      </x:c>
      <x:c r="C29">
        <x:v>22</x:v>
      </x:c>
      <x:c r="G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</x:row>
    <x:row r="30" spans="1:33" hidden="1">
      <x:c r="A30" t="s">
        <x:v>240</x:v>
      </x:c>
      <x:c r="B30" t="s">
        <x:v>225</x:v>
      </x:c>
      <x:c r="C30">
        <x:v>20</x:v>
      </x:c>
      <x:c r="G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</x:row>
    <x:row r="31" spans="1:33" s="1" customFormat="1">
      <x:c r="A31" s="1" t="s">
        <x:v>192</x:v>
      </x:c>
      <x:c r="B31" s="1" t="s">
        <x:v>204</x:v>
      </x:c>
      <x:c r="C31" s="1">
        <x:v>20</x:v>
      </x:c>
      <x:c r="D31" s="1" t="s">
        <x:v>14</x:v>
      </x:c>
      <x:c r="E31" s="1">
        <x:f>(C31/315)</x:f>
        <x:v>0.063492063492063489</x:v>
      </x:c>
      <x:c r="F31" s="1">
        <x:f>E31*915</x:f>
        <x:v>58.095238095238095</x:v>
      </x:c>
      <x:c r="G31" s="5">
        <x:f>81-F31</x:f>
        <x:v>22.904761904761905</x:v>
      </x:c>
      <x:c r="H31" s="1">
        <x:f>E31*315</x:f>
        <x:v>20</x:v>
      </x:c>
      <x:c r="I31" s="9">
        <x:f>30-H31</x:f>
        <x:v>10</x:v>
      </x:c>
      <x:c r="J31" s="14"/>
      <x:c r="K31" s="13" t="s">
        <x:v>14</x:v>
      </x:c>
      <x:c r="L31" s="18" t="s">
        <x:v>5</x:v>
      </x:c>
      <x:c r="M31" s="18">
        <x:f>SUM(G25:G38,G43,G65,G72,G80,G87:G88,G99,G108:G111,G116:G118,G138:G145,G155,G202,G219,G249:G253,G386)</x:f>
        <x:v>-28.619047619047628</x:v>
      </x:c>
      <x:c r="N31" s="19" t="s">
        <x:v>292</x:v>
      </x:c>
      <x:c r="O31" s="18" t="s">
        <x:v>1</x:v>
      </x:c>
      <x:c r="P31" s="18">
        <x:f>SUM(I25:I38,I43,I65,I72,I87,I88,I99,I108:I111,I116:I118,I138:I145,I155,I202,I219,I249:I253,I386)</x:f>
        <x:v>-4.0000000000000018</x:v>
      </x:c>
      <x:c r="Q31" s="20" t="s">
        <x:v>292</x:v>
      </x:c>
      <x:c r="R31" s="17"/>
      <x:c r="S31" s="17"/>
      <x:c r="T31" s="17"/>
      <x:c r="U31" s="17"/>
      <x:c r="V31" s="17"/>
      <x:c r="W31" s="17"/>
      <x:c r="X31" s="17"/>
      <x:c r="Y31" s="17"/>
      <x:c r="Z31" s="17"/>
      <x:c r="AA31" s="17"/>
      <x:c r="AB31" s="17"/>
      <x:c r="AC31" s="17"/>
      <x:c r="AD31" s="17"/>
      <x:c r="AE31" s="17"/>
      <x:c r="AF31" s="17"/>
      <x:c r="AG31" s="17"/>
    </x:row>
    <x:row r="32" spans="1:33" hidden="1">
      <x:c r="A32" t="s">
        <x:v>226</x:v>
      </x:c>
      <x:c r="B32" t="s">
        <x:v>222</x:v>
      </x:c>
      <x:c r="C32">
        <x:v>19</x:v>
      </x:c>
      <x:c r="G32"/>
      <x:c r="I32"/>
      <x:c r="J32"/>
      <x:c r="K32" s="13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</x:row>
    <x:row r="33" spans="1:33" hidden="1">
      <x:c r="A33" t="s">
        <x:v>245</x:v>
      </x:c>
      <x:c r="B33" t="s">
        <x:v>197</x:v>
      </x:c>
      <x:c r="C33">
        <x:v>18</x:v>
      </x:c>
      <x:c r="G33"/>
      <x:c r="I33"/>
      <x:c r="J33"/>
      <x:c r="K33" s="1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</x:row>
    <x:row r="34" spans="1:33" hidden="1">
      <x:c r="A34" t="s">
        <x:v>193</x:v>
      </x:c>
      <x:c r="B34" t="s">
        <x:v>203</x:v>
      </x:c>
      <x:c r="C34">
        <x:v>18</x:v>
      </x:c>
      <x:c r="G34"/>
      <x:c r="I34"/>
      <x:c r="J34"/>
      <x:c r="K34" s="13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</x:row>
    <x:row r="35" spans="1:33" hidden="1">
      <x:c r="A35" t="s">
        <x:v>161</x:v>
      </x:c>
      <x:c r="B35" t="s">
        <x:v>203</x:v>
      </x:c>
      <x:c r="C35">
        <x:v>18</x:v>
      </x:c>
      <x:c r="G35"/>
      <x:c r="I35"/>
      <x:c r="J35"/>
      <x:c r="K35" s="13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</x:row>
    <x:row r="36" spans="1:33" hidden="1">
      <x:c r="A36" t="s">
        <x:v>228</x:v>
      </x:c>
      <x:c r="B36" t="s">
        <x:v>173</x:v>
      </x:c>
      <x:c r="C36">
        <x:v>16</x:v>
      </x:c>
      <x:c r="G36"/>
      <x:c r="I36"/>
      <x:c r="J36"/>
      <x:c r="K36" s="13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</x:row>
    <x:row r="37" spans="1:33" hidden="1">
      <x:c r="A37" t="s">
        <x:v>208</x:v>
      </x:c>
      <x:c r="B37" t="s">
        <x:v>173</x:v>
      </x:c>
      <x:c r="C37">
        <x:v>16</x:v>
      </x:c>
      <x:c r="G37"/>
      <x:c r="I37"/>
      <x:c r="J37"/>
      <x:c r="K37" s="13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</x:row>
    <x:row r="38" spans="1:33" s="1" customFormat="1">
      <x:c r="A38" s="1" t="s">
        <x:v>231</x:v>
      </x:c>
      <x:c r="B38" s="1" t="s">
        <x:v>204</x:v>
      </x:c>
      <x:c r="C38" s="1">
        <x:v>16</x:v>
      </x:c>
      <x:c r="D38" s="1" t="s">
        <x:v>14</x:v>
      </x:c>
      <x:c r="E38" s="1">
        <x:f>(C38/315)</x:f>
        <x:v>0.050793650793650794</x:v>
      </x:c>
      <x:c r="F38" s="1">
        <x:f>E38*915</x:f>
        <x:v>46.476190476190474</x:v>
      </x:c>
      <x:c r="G38" s="5">
        <x:f>41-F38</x:f>
        <x:v>-5.4761904761904745</x:v>
      </x:c>
      <x:c r="H38" s="1">
        <x:f t="shared" ref="H38:H39" si="0">E38*315</x:f>
        <x:v>16</x:v>
      </x:c>
      <x:c r="I38" s="9">
        <x:f>15-H38</x:f>
        <x:v>-1</x:v>
      </x:c>
      <x:c r="J38" s="14"/>
      <x:c r="K38" s="13"/>
      <x:c r="L38" s="18" t="s">
        <x:v>4</x:v>
      </x:c>
      <x:c r="M38" s="18">
        <x:f>SUM(F25:F38,F43,F65,F72,F80,F87:F88,F99,F108:F111,F116:F118,F138:F145,F155,F202,F219,F249:F253,F386)</x:f>
        <x:v>438.61904761904765</x:v>
      </x:c>
      <x:c r="N38" s="18">
        <x:f>M31/M38</x:f>
        <x:v>-0.065248072956247971</x:v>
      </x:c>
      <x:c r="O38" s="18" t="s">
        <x:v>3</x:v>
      </x:c>
      <x:c r="P38" s="21">
        <x:f>SUM(H25:H38,H43,H65,H72,H80,H87:H88,H99,H108:H111,H116:H118,H138:H145,H155,H202,H219,H249:H253,H386)</x:f>
        <x:v>151</x:v>
      </x:c>
      <x:c r="Q38" s="18">
        <x:f>P31/P38</x:f>
        <x:v>-0.026490066225165573</x:v>
      </x:c>
      <x:c r="R38" s="17"/>
      <x:c r="S38" s="17"/>
      <x:c r="T38" s="17"/>
      <x:c r="U38" s="17"/>
      <x:c r="V38" s="17"/>
      <x:c r="W38" s="17"/>
      <x:c r="X38" s="17"/>
      <x:c r="Y38" s="17"/>
      <x:c r="Z38" s="17"/>
      <x:c r="AA38" s="17"/>
      <x:c r="AB38" s="17"/>
      <x:c r="AC38" s="17"/>
      <x:c r="AD38" s="17"/>
      <x:c r="AE38" s="17"/>
      <x:c r="AF38" s="17"/>
      <x:c r="AG38" s="17"/>
    </x:row>
    <x:row r="39" spans="1:33" s="2" customFormat="1">
      <x:c r="A39" s="2" t="s">
        <x:v>224</x:v>
      </x:c>
      <x:c r="B39" s="2" t="s">
        <x:v>248</x:v>
      </x:c>
      <x:c r="C39" s="2">
        <x:v>16</x:v>
      </x:c>
      <x:c r="D39" s="2" t="s">
        <x:v>18</x:v>
      </x:c>
      <x:c r="E39" s="2">
        <x:f>C39/315</x:f>
        <x:v>0.050793650793650794</x:v>
      </x:c>
      <x:c r="F39" s="2">
        <x:f>E39*915</x:f>
        <x:v>46.476190476190474</x:v>
      </x:c>
      <x:c r="G39" s="2">
        <x:f>38-F39</x:f>
        <x:v>-8.4761904761904745</x:v>
      </x:c>
      <x:c r="H39" s="2">
        <x:f t="shared" si="0"/>
        <x:v>16</x:v>
      </x:c>
      <x:c r="I39" s="2">
        <x:f>13-H39</x:f>
        <x:v>-3</x:v>
      </x:c>
      <x:c r="K39" s="17"/>
      <x:c r="L39" s="17"/>
      <x:c r="M39" s="17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7"/>
      <x:c r="AA39" s="17"/>
      <x:c r="AB39" s="17"/>
      <x:c r="AC39" s="17"/>
      <x:c r="AD39" s="17"/>
      <x:c r="AE39" s="17"/>
      <x:c r="AF39" s="17"/>
      <x:c r="AG39" s="17"/>
    </x:row>
    <x:row r="40" spans="1:33" hidden="1">
      <x:c r="A40" t="s">
        <x:v>272</x:v>
      </x:c>
      <x:c r="B40" t="s">
        <x:v>270</x:v>
      </x:c>
      <x:c r="C40">
        <x:v>15</x:v>
      </x:c>
      <x:c r="G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</x:row>
    <x:row r="41" spans="1:33" hidden="1">
      <x:c r="A41" t="s">
        <x:v>235</x:v>
      </x:c>
      <x:c r="B41" t="s">
        <x:v>165</x:v>
      </x:c>
      <x:c r="C41">
        <x:v>15</x:v>
      </x:c>
      <x:c r="G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</x:row>
    <x:row r="42" spans="1:33" hidden="1">
      <x:c r="A42" t="s">
        <x:v>199</x:v>
      </x:c>
      <x:c r="B42" t="s">
        <x:v>197</x:v>
      </x:c>
      <x:c r="C42">
        <x:v>14</x:v>
      </x:c>
      <x:c r="G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</x:row>
    <x:row r="43" spans="1:33" s="1" customFormat="1">
      <x:c r="A43" s="1" t="s">
        <x:v>236</x:v>
      </x:c>
      <x:c r="B43" s="1" t="s">
        <x:v>204</x:v>
      </x:c>
      <x:c r="C43" s="1">
        <x:v>14</x:v>
      </x:c>
      <x:c r="D43" s="1" t="s">
        <x:v>14</x:v>
      </x:c>
      <x:c r="E43" s="1">
        <x:f>(C43/315)</x:f>
        <x:v>0.044444444444444446</x:v>
      </x:c>
      <x:c r="F43" s="1">
        <x:f>E43*915</x:f>
        <x:v>40.666666666666671</x:v>
      </x:c>
      <x:c r="G43" s="5">
        <x:f>54-F43</x:f>
        <x:v>13.333333333333329</x:v>
      </x:c>
      <x:c r="H43" s="1">
        <x:f>E43*315</x:f>
        <x:v>14</x:v>
      </x:c>
      <x:c r="I43" s="9">
        <x:f>18-H43</x:f>
        <x:v>4</x:v>
      </x:c>
      <x:c r="J43" s="9"/>
      <x:c r="K43" s="18"/>
      <x:c r="L43" s="18"/>
      <x:c r="M43" s="18"/>
      <x:c r="N43" s="18"/>
      <x:c r="O43" s="18"/>
      <x:c r="P43" s="18"/>
      <x:c r="Q43" s="18"/>
      <x:c r="R43" s="17"/>
      <x:c r="S43" s="17"/>
      <x:c r="T43" s="17"/>
      <x:c r="U43" s="17"/>
      <x:c r="V43" s="17"/>
      <x:c r="W43" s="17"/>
      <x:c r="X43" s="17"/>
      <x:c r="Y43" s="17"/>
      <x:c r="Z43" s="17"/>
      <x:c r="AA43" s="17"/>
      <x:c r="AB43" s="17"/>
      <x:c r="AC43" s="17"/>
      <x:c r="AD43" s="17"/>
      <x:c r="AE43" s="17"/>
      <x:c r="AF43" s="17"/>
      <x:c r="AG43" s="17"/>
    </x:row>
    <x:row r="44" spans="1:33" hidden="1">
      <x:c r="A44" t="s">
        <x:v>271</x:v>
      </x:c>
      <x:c r="B44" t="s">
        <x:v>277</x:v>
      </x:c>
      <x:c r="C44">
        <x:v>13</x:v>
      </x:c>
      <x:c r="G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</x:row>
    <x:row r="45" spans="1:33" hidden="1">
      <x:c r="A45" t="s">
        <x:v>229</x:v>
      </x:c>
      <x:c r="B45" t="s">
        <x:v>247</x:v>
      </x:c>
      <x:c r="C45">
        <x:v>13</x:v>
      </x:c>
      <x:c r="G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</x:row>
    <x:row r="46" spans="1:33" hidden="1">
      <x:c r="A46" t="s">
        <x:v>246</x:v>
      </x:c>
      <x:c r="B46" t="s">
        <x:v>165</x:v>
      </x:c>
      <x:c r="C46">
        <x:v>13</x:v>
      </x:c>
      <x:c r="G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</x:row>
    <x:row r="47" spans="1:33" hidden="1">
      <x:c r="A47" t="s">
        <x:v>230</x:v>
      </x:c>
      <x:c r="B47" t="s">
        <x:v>227</x:v>
      </x:c>
      <x:c r="C47">
        <x:v>13</x:v>
      </x:c>
      <x:c r="G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</x:row>
    <x:row r="48" spans="1:33" hidden="1">
      <x:c r="A48" t="s">
        <x:v>218</x:v>
      </x:c>
      <x:c r="B48" t="s">
        <x:v>203</x:v>
      </x:c>
      <x:c r="C48">
        <x:v>13</x:v>
      </x:c>
      <x:c r="G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</x:row>
    <x:row r="49" spans="1:33" hidden="1">
      <x:c r="A49" t="s">
        <x:v>269</x:v>
      </x:c>
      <x:c r="B49" t="s">
        <x:v>175</x:v>
      </x:c>
      <x:c r="C49">
        <x:v>12</x:v>
      </x:c>
      <x:c r="G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</x:row>
    <x:row r="50" spans="1:33" s="2" customFormat="1">
      <x:c r="A50" s="2" t="s">
        <x:v>220</x:v>
      </x:c>
      <x:c r="B50" s="2" t="s">
        <x:v>248</x:v>
      </x:c>
      <x:c r="C50" s="2">
        <x:v>11</x:v>
      </x:c>
      <x:c r="D50" s="2" t="s">
        <x:v>18</x:v>
      </x:c>
      <x:c r="E50" s="2">
        <x:f>C50/315</x:f>
        <x:v>0.034920634920634921</x:v>
      </x:c>
      <x:c r="F50" s="2">
        <x:f>E50*915</x:f>
        <x:v>31.952380952380953</x:v>
      </x:c>
      <x:c r="G50" s="2">
        <x:f>38-F50</x:f>
        <x:v>6.0476190476190474</x:v>
      </x:c>
      <x:c r="H50" s="2">
        <x:f>E50*315</x:f>
        <x:v>11</x:v>
      </x:c>
      <x:c r="I50" s="2">
        <x:f>11-H50</x:f>
        <x:v>0</x:v>
      </x:c>
      <x:c r="K50" s="17"/>
      <x:c r="L50" s="17"/>
      <x:c r="M50" s="17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7"/>
      <x:c r="AA50" s="17"/>
      <x:c r="AB50" s="17"/>
      <x:c r="AC50" s="17"/>
      <x:c r="AD50" s="17"/>
      <x:c r="AE50" s="17"/>
      <x:c r="AF50" s="17"/>
      <x:c r="AG50" s="17"/>
    </x:row>
    <x:row r="51" spans="1:33" hidden="1">
      <x:c r="A51" t="s">
        <x:v>168</x:v>
      </x:c>
      <x:c r="B51" t="s">
        <x:v>252</x:v>
      </x:c>
      <x:c r="C51">
        <x:v>11</x:v>
      </x:c>
      <x:c r="G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</x:row>
    <x:row r="52" spans="1:33" hidden="1">
      <x:c r="A52" t="s">
        <x:v>186</x:v>
      </x:c>
      <x:c r="B52" t="s">
        <x:v>179</x:v>
      </x:c>
      <x:c r="C52">
        <x:v>11</x:v>
      </x:c>
      <x:c r="G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</x:row>
    <x:row r="53" spans="1:33" hidden="1">
      <x:c r="A53" t="s">
        <x:v>202</x:v>
      </x:c>
      <x:c r="B53" t="s">
        <x:v>197</x:v>
      </x:c>
      <x:c r="C53">
        <x:v>11</x:v>
      </x:c>
      <x:c r="G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</x:row>
    <x:row r="54" spans="1:33" hidden="1">
      <x:c r="A54" t="s">
        <x:v>228</x:v>
      </x:c>
      <x:c r="B54" t="s">
        <x:v>223</x:v>
      </x:c>
      <x:c r="C54">
        <x:v>11</x:v>
      </x:c>
      <x:c r="G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</x:row>
    <x:row r="55" spans="1:33" hidden="1">
      <x:c r="A55" t="s">
        <x:v>180</x:v>
      </x:c>
      <x:c r="B55" t="s">
        <x:v>278</x:v>
      </x:c>
      <x:c r="C55">
        <x:v>10</x:v>
      </x:c>
      <x:c r="G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</x:row>
    <x:row r="56" spans="1:33" hidden="1">
      <x:c r="A56" t="s">
        <x:v>233</x:v>
      </x:c>
      <x:c r="B56" t="s">
        <x:v>237</x:v>
      </x:c>
      <x:c r="C56">
        <x:v>10</x:v>
      </x:c>
      <x:c r="G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</x:row>
    <x:row r="57" spans="1:33" hidden="1">
      <x:c r="A57" t="s">
        <x:v>208</x:v>
      </x:c>
      <x:c r="B57" t="s">
        <x:v>223</x:v>
      </x:c>
      <x:c r="C57">
        <x:v>10</x:v>
      </x:c>
      <x:c r="G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</x:row>
    <x:row r="58" spans="1:33" hidden="1">
      <x:c r="A58" t="s">
        <x:v>89</x:v>
      </x:c>
      <x:c r="B58" t="s">
        <x:v>241</x:v>
      </x:c>
      <x:c r="C58">
        <x:v>10</x:v>
      </x:c>
      <x:c r="G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</x:row>
    <x:row r="59" spans="1:33" hidden="1">
      <x:c r="A59" t="s">
        <x:v>234</x:v>
      </x:c>
      <x:c r="B59" t="s">
        <x:v>237</x:v>
      </x:c>
      <x:c r="C59">
        <x:v>10</x:v>
      </x:c>
      <x:c r="G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</x:row>
    <x:row r="60" spans="1:33" hidden="1">
      <x:c r="A60" t="s">
        <x:v>232</x:v>
      </x:c>
      <x:c r="B60" t="s">
        <x:v>252</x:v>
      </x:c>
      <x:c r="C60">
        <x:v>9</x:v>
      </x:c>
      <x:c r="G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</x:row>
    <x:row r="61" spans="1:33" s="2" customFormat="1">
      <x:c r="A61" s="2" t="s">
        <x:v>251</x:v>
      </x:c>
      <x:c r="B61" s="2" t="s">
        <x:v>248</x:v>
      </x:c>
      <x:c r="C61" s="2">
        <x:v>9</x:v>
      </x:c>
      <x:c r="D61" s="2" t="s">
        <x:v>18</x:v>
      </x:c>
      <x:c r="E61" s="2">
        <x:f>C61/315</x:f>
        <x:v>0.028571428571428571</x:v>
      </x:c>
      <x:c r="F61" s="2">
        <x:f>E61*915</x:f>
        <x:v>26.142857142857142</x:v>
      </x:c>
      <x:c r="G61" s="2">
        <x:f>24-F61</x:f>
        <x:v>-2.1428571428571423</x:v>
      </x:c>
      <x:c r="H61" s="2">
        <x:f>E61*315</x:f>
        <x:v>9</x:v>
      </x:c>
      <x:c r="I61" s="2">
        <x:f>3-H61</x:f>
        <x:v>-6</x:v>
      </x:c>
      <x:c r="K61" s="17"/>
      <x:c r="L61" s="17"/>
      <x:c r="M61" s="17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7"/>
      <x:c r="AA61" s="17"/>
      <x:c r="AB61" s="17"/>
      <x:c r="AC61" s="17"/>
      <x:c r="AD61" s="17"/>
      <x:c r="AE61" s="17"/>
      <x:c r="AF61" s="17"/>
      <x:c r="AG61" s="17"/>
    </x:row>
    <x:row r="62" spans="1:33" hidden="1">
      <x:c r="A62" t="s">
        <x:v>218</x:v>
      </x:c>
      <x:c r="B62" t="s">
        <x:v>197</x:v>
      </x:c>
      <x:c r="C62">
        <x:v>9</x:v>
      </x:c>
      <x:c r="G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</x:row>
    <x:row r="63" spans="1:33" hidden="1">
      <x:c r="A63">
        <x:v>1</x:v>
      </x:c>
      <x:c r="B63" t="s">
        <x:v>241</x:v>
      </x:c>
      <x:c r="C63">
        <x:v>9</x:v>
      </x:c>
      <x:c r="G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</x:row>
    <x:row r="64" spans="1:33" hidden="1">
      <x:c r="A64">
        <x:v>5</x:v>
      </x:c>
      <x:c r="B64" t="s">
        <x:v>241</x:v>
      </x:c>
      <x:c r="C64">
        <x:v>8</x:v>
      </x:c>
      <x:c r="G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</x:row>
    <x:row r="65" spans="1:33" s="1" customFormat="1">
      <x:c r="A65" s="1" t="s">
        <x:v>116</x:v>
      </x:c>
      <x:c r="B65" s="1" t="s">
        <x:v>204</x:v>
      </x:c>
      <x:c r="C65" s="1">
        <x:v>7</x:v>
      </x:c>
      <x:c r="D65" s="1" t="s">
        <x:v>14</x:v>
      </x:c>
      <x:c r="E65" s="1">
        <x:f>(C65/315)</x:f>
        <x:v>0.022222222222222223</x:v>
      </x:c>
      <x:c r="F65" s="1">
        <x:f>E65*915</x:f>
        <x:v>20.333333333333336</x:v>
      </x:c>
      <x:c r="G65" s="5">
        <x:f>7-F65</x:f>
        <x:v>-13.333333333333336</x:v>
      </x:c>
      <x:c r="H65" s="1">
        <x:f>E65*315</x:f>
        <x:v>7</x:v>
      </x:c>
      <x:c r="I65" s="9">
        <x:f>4-H65</x:f>
        <x:v>-3</x:v>
      </x:c>
      <x:c r="J65" s="14"/>
      <x:c r="K65" s="13" t="s">
        <x:v>18</x:v>
      </x:c>
      <x:c r="L65" s="21" t="s">
        <x:v>5</x:v>
      </x:c>
      <x:c r="M65" s="18">
        <x:f>SUM(G39,G50:G61,G71,G89,G101,G112:G115,G124,G150,G162:G186,G195:G199,G205:G206,G213:G215,G242,G259,G270:G281,G320:G342,G355:G356,G360)</x:f>
        <x:v>-4.0476190476190599</x:v>
      </x:c>
      <x:c r="N65" s="20" t="s">
        <x:v>292</x:v>
      </x:c>
      <x:c r="O65" s="21" t="s">
        <x:v>1</x:v>
      </x:c>
      <x:c r="P65" s="18">
        <x:f>SUM(I39,I50:I61,I71,I89,I101,I112:I115,I124,I150,I162:I186,I195:I199,I205:I206,I213:I215,I242,I259,I270:I281,I320:I342,I355:I356,I360)</x:f>
        <x:v>-14</x:v>
      </x:c>
      <x:c r="Q65" s="20" t="s">
        <x:v>292</x:v>
      </x:c>
      <x:c r="R65" s="17"/>
      <x:c r="S65" s="17"/>
      <x:c r="T65" s="17"/>
      <x:c r="U65" s="17"/>
      <x:c r="V65" s="17"/>
      <x:c r="W65" s="17"/>
      <x:c r="X65" s="17"/>
      <x:c r="Y65" s="17"/>
      <x:c r="Z65" s="17"/>
      <x:c r="AA65" s="17"/>
      <x:c r="AB65" s="17"/>
      <x:c r="AC65" s="17"/>
      <x:c r="AD65" s="17"/>
      <x:c r="AE65" s="17"/>
      <x:c r="AF65" s="17"/>
      <x:c r="AG65" s="17"/>
    </x:row>
    <x:row r="66" spans="1:33" hidden="1">
      <x:c r="A66" t="s">
        <x:v>276</x:v>
      </x:c>
      <x:c r="B66" t="s">
        <x:v>217</x:v>
      </x:c>
      <x:c r="C66">
        <x:v>7</x:v>
      </x:c>
      <x:c r="G66"/>
      <x:c r="I66"/>
      <x:c r="J66"/>
      <x:c r="K66" s="13"/>
      <x:c r="L66" s="12" t="s">
        <x:v>4</x:v>
      </x:c>
      <x:c r="M66"/>
      <x:c r="N66"/>
      <x:c r="O66" s="12" t="s">
        <x:v>3</x:v>
      </x:c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</x:row>
    <x:row r="67" spans="1:33" s="3" customFormat="1">
      <x:c r="A67" s="3" t="s">
        <x:v>105</x:v>
      </x:c>
      <x:c r="B67" s="3" t="s">
        <x:v>248</x:v>
      </x:c>
      <x:c r="C67" s="3">
        <x:v>7</x:v>
      </x:c>
      <x:c r="D67" s="3" t="s">
        <x:v>309</x:v>
      </x:c>
      <x:c r="E67" s="3">
        <x:f>C67/315</x:f>
        <x:v>0.022222222222222223</x:v>
      </x:c>
      <x:c r="F67" s="3">
        <x:f>E67*915</x:f>
        <x:v>20.333333333333336</x:v>
      </x:c>
      <x:c r="G67" s="3">
        <x:f>7-F67</x:f>
        <x:v>-13.333333333333336</x:v>
      </x:c>
      <x:c r="H67" s="3">
        <x:f>E67*315</x:f>
        <x:v>7</x:v>
      </x:c>
      <x:c r="I67" s="3">
        <x:f>7-H67</x:f>
        <x:v>0</x:v>
      </x:c>
      <x:c r="K67" s="13"/>
      <x:c r="L67" s="17"/>
      <x:c r="M67" s="17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7"/>
      <x:c r="AA67" s="17"/>
      <x:c r="AB67" s="17"/>
      <x:c r="AC67" s="17"/>
      <x:c r="AD67" s="17"/>
      <x:c r="AE67" s="17"/>
      <x:c r="AF67" s="17"/>
      <x:c r="AG67" s="17"/>
    </x:row>
    <x:row r="68" spans="1:33" hidden="1">
      <x:c r="A68" t="s">
        <x:v>256</x:v>
      </x:c>
      <x:c r="B68" t="s">
        <x:v>266</x:v>
      </x:c>
      <x:c r="C68">
        <x:v>7</x:v>
      </x:c>
      <x:c r="G68"/>
      <x:c r="I68"/>
      <x:c r="J68"/>
      <x:c r="K68" s="13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</x:row>
    <x:row r="69" spans="1:33" hidden="1">
      <x:c r="A69" t="s">
        <x:v>67</x:v>
      </x:c>
      <x:c r="B69" t="s">
        <x:v>197</x:v>
      </x:c>
      <x:c r="C69">
        <x:v>7</x:v>
      </x:c>
      <x:c r="G69"/>
      <x:c r="I69"/>
      <x:c r="J69"/>
      <x:c r="K69" s="13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</x:row>
    <x:row r="70" spans="1:33" hidden="1">
      <x:c r="A70" t="s">
        <x:v>163</x:v>
      </x:c>
      <x:c r="B70" t="s">
        <x:v>201</x:v>
      </x:c>
      <x:c r="C70">
        <x:v>7</x:v>
      </x:c>
      <x:c r="G70"/>
      <x:c r="I70"/>
      <x:c r="J70"/>
      <x:c r="K70" s="13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</x:row>
    <x:row r="71" spans="1:33" s="2" customFormat="1">
      <x:c r="A71" s="2" t="s">
        <x:v>367</x:v>
      </x:c>
      <x:c r="B71" s="2" t="s">
        <x:v>204</x:v>
      </x:c>
      <x:c r="C71" s="2">
        <x:v>7</x:v>
      </x:c>
      <x:c r="D71" s="2" t="s">
        <x:v>18</x:v>
      </x:c>
      <x:c r="E71" s="2">
        <x:f>(C71/315)</x:f>
        <x:v>0.022222222222222223</x:v>
      </x:c>
      <x:c r="F71" s="1">
        <x:f t="shared" ref="F71:F72" si="1">E71*915</x:f>
        <x:v>20.333333333333336</x:v>
      </x:c>
      <x:c r="G71" s="6">
        <x:f>19-F71</x:f>
        <x:v>-1.3333333333333357</x:v>
      </x:c>
      <x:c r="H71" s="1">
        <x:f t="shared" ref="H71:H72" si="2">E71*315</x:f>
        <x:v>7</x:v>
      </x:c>
      <x:c r="I71" s="10">
        <x:f>10-H71</x:f>
        <x:v>3</x:v>
      </x:c>
      <x:c r="J71" s="15"/>
      <x:c r="K71" s="13"/>
      <x:c r="L71" s="18" t="s">
        <x:v>4</x:v>
      </x:c>
      <x:c r="M71" s="18">
        <x:f>SUM(F39,F50:F61,F71,F89,F101,F112:F115,F124,F150,F162:F186,F195:F199,F205:F206,F213:F215,F242,F259,F270:F281,F342,F320,F355:F356,F360,)</x:f>
        <x:v>273.04761904761904</x:v>
      </x:c>
      <x:c r="N71" s="18">
        <x:f>M65/M71</x:f>
        <x:v>-0.014823857690966212</x:v>
      </x:c>
      <x:c r="O71" s="21" t="s">
        <x:v>3</x:v>
      </x:c>
      <x:c r="P71" s="18">
        <x:f>SUM(H39,H50:H61,H71,H89,H101,H112:H115,H124,H150,H162:H186,H195:H199,H205:H206,H213:H215,H242,H259,H270:H281,H320:H342,H355:H356,H360)</x:f>
        <x:v>94</x:v>
      </x:c>
      <x:c r="Q71" s="18">
        <x:f>P65/P71</x:f>
        <x:v>-0.14893617021276595</x:v>
      </x:c>
      <x:c r="R71" s="17"/>
      <x:c r="S71" s="17"/>
      <x:c r="T71" s="17"/>
      <x:c r="U71" s="17"/>
      <x:c r="V71" s="17"/>
      <x:c r="W71" s="17"/>
      <x:c r="X71" s="17"/>
      <x:c r="Y71" s="17"/>
      <x:c r="Z71" s="17"/>
      <x:c r="AA71" s="17"/>
      <x:c r="AB71" s="17"/>
      <x:c r="AC71" s="17"/>
      <x:c r="AD71" s="17"/>
      <x:c r="AE71" s="17"/>
      <x:c r="AF71" s="17"/>
      <x:c r="AG71" s="17"/>
    </x:row>
    <x:row r="72" spans="1:15">
      <x:c r="A72" t="s">
        <x:v>172</x:v>
      </x:c>
      <x:c r="B72" t="s">
        <x:v>248</x:v>
      </x:c>
      <x:c r="C72">
        <x:v>7</x:v>
      </x:c>
      <x:c r="D72" t="s">
        <x:v>14</x:v>
      </x:c>
      <x:c r="E72">
        <x:f>C72/315</x:f>
        <x:v>0.022222222222222223</x:v>
      </x:c>
      <x:c r="F72" s="1">
        <x:f t="shared" si="1"/>
        <x:v>20.333333333333336</x:v>
      </x:c>
      <x:c r="G72">
        <x:f>13-F72</x:f>
        <x:v>-7.3333333333333357</x:v>
      </x:c>
      <x:c r="H72" s="1">
        <x:f t="shared" si="2"/>
        <x:v>7</x:v>
      </x:c>
      <x:c r="I72">
        <x:f>4-H72</x:f>
        <x:v>-3</x:v>
      </x:c>
      <x:c r="J72"/>
      <x:c r="O72" s="21"/>
    </x:row>
    <x:row r="73" spans="1:33" hidden="1">
      <x:c r="A73" t="s">
        <x:v>264</x:v>
      </x:c>
      <x:c r="B73" t="s">
        <x:v>197</x:v>
      </x:c>
      <x:c r="C73">
        <x:v>7</x:v>
      </x:c>
      <x:c r="G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</x:row>
    <x:row r="74" spans="1:33" hidden="1">
      <x:c r="A74" t="s">
        <x:v>184</x:v>
      </x:c>
      <x:c r="B74" t="s">
        <x:v>277</x:v>
      </x:c>
      <x:c r="C74">
        <x:v>7</x:v>
      </x:c>
      <x:c r="G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</x:row>
    <x:row r="75" spans="1:33" hidden="1">
      <x:c r="A75" t="s">
        <x:v>243</x:v>
      </x:c>
      <x:c r="B75" t="s">
        <x:v>217</x:v>
      </x:c>
      <x:c r="C75">
        <x:v>7</x:v>
      </x:c>
      <x:c r="G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</x:row>
    <x:row r="76" spans="1:33" s="3" customFormat="1">
      <x:c r="A76" s="3" t="s">
        <x:v>159</x:v>
      </x:c>
      <x:c r="B76" s="3" t="s">
        <x:v>204</x:v>
      </x:c>
      <x:c r="C76" s="3">
        <x:v>7</x:v>
      </x:c>
      <x:c r="D76" s="3" t="s">
        <x:v>309</x:v>
      </x:c>
      <x:c r="E76" s="3">
        <x:f>(C76/315)</x:f>
        <x:v>0.022222222222222223</x:v>
      </x:c>
      <x:c r="F76" s="1">
        <x:f>E76*915</x:f>
        <x:v>20.333333333333336</x:v>
      </x:c>
      <x:c r="G76" s="7">
        <x:f>13-F76</x:f>
        <x:v>-7.3333333333333357</x:v>
      </x:c>
      <x:c r="H76" s="1">
        <x:f>E76*315</x:f>
        <x:v>7</x:v>
      </x:c>
      <x:c r="I76" s="11">
        <x:f>7-H76</x:f>
        <x:v>0</x:v>
      </x:c>
      <x:c r="J76" s="11"/>
      <x:c r="K76" s="18"/>
      <x:c r="L76" s="18"/>
      <x:c r="M76" s="18"/>
      <x:c r="N76" s="18"/>
      <x:c r="O76" s="18"/>
      <x:c r="P76" s="18"/>
      <x:c r="Q76" s="18"/>
      <x:c r="R76" s="17"/>
      <x:c r="S76" s="17"/>
      <x:c r="T76" s="17"/>
      <x:c r="U76" s="17"/>
      <x:c r="V76" s="17"/>
      <x:c r="W76" s="17"/>
      <x:c r="X76" s="17"/>
      <x:c r="Y76" s="17"/>
      <x:c r="Z76" s="17"/>
      <x:c r="AA76" s="17"/>
      <x:c r="AB76" s="17"/>
      <x:c r="AC76" s="17"/>
      <x:c r="AD76" s="17"/>
      <x:c r="AE76" s="17"/>
      <x:c r="AF76" s="17"/>
      <x:c r="AG76" s="17"/>
    </x:row>
    <x:row r="77" spans="1:33" hidden="1">
      <x:c r="A77" t="s">
        <x:v>73</x:v>
      </x:c>
      <x:c r="B77" t="s">
        <x:v>278</x:v>
      </x:c>
      <x:c r="C77">
        <x:v>7</x:v>
      </x:c>
      <x:c r="G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</x:row>
    <x:row r="78" spans="1:33" hidden="1">
      <x:c r="A78">
        <x:v>2</x:v>
      </x:c>
      <x:c r="B78" t="s">
        <x:v>241</x:v>
      </x:c>
      <x:c r="C78">
        <x:v>6</x:v>
      </x:c>
      <x:c r="G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</x:row>
    <x:row r="79" spans="1:33" hidden="1">
      <x:c r="A79" t="s">
        <x:v>62</x:v>
      </x:c>
      <x:c r="B79" t="s">
        <x:v>215</x:v>
      </x:c>
      <x:c r="C79">
        <x:v>6</x:v>
      </x:c>
      <x:c r="G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</x:row>
    <x:row r="80" spans="1:10">
      <x:c r="A80" t="s">
        <x:v>244</x:v>
      </x:c>
      <x:c r="B80" t="s">
        <x:v>248</x:v>
      </x:c>
      <x:c r="C80">
        <x:v>6</x:v>
      </x:c>
      <x:c r="D80" t="s">
        <x:v>14</x:v>
      </x:c>
      <x:c r="E80">
        <x:f t="shared" ref="E80:E81" si="3">C80/315</x:f>
        <x:v>0.019047619047619049</x:v>
      </x:c>
      <x:c r="F80" s="1">
        <x:f t="shared" ref="F80:F81" si="4">E80*915</x:f>
        <x:v>17.428571428571431</x:v>
      </x:c>
      <x:c r="G80">
        <x:f>28-F80</x:f>
        <x:v>10.571428571428569</x:v>
      </x:c>
      <x:c r="H80" s="1">
        <x:f t="shared" ref="H80:H81" si="5">E80*315</x:f>
        <x:v>6.0000000000000009</x:v>
      </x:c>
      <x:c r="I80">
        <x:f>11-H80</x:f>
        <x:v>4.9999999999999991</x:v>
      </x:c>
      <x:c r="J80"/>
    </x:row>
    <x:row r="81" spans="1:33" s="3" customFormat="1">
      <x:c r="A81" s="3" t="s">
        <x:v>106</x:v>
      </x:c>
      <x:c r="B81" s="3" t="s">
        <x:v>248</x:v>
      </x:c>
      <x:c r="C81" s="3">
        <x:v>6</x:v>
      </x:c>
      <x:c r="D81" s="3" t="s">
        <x:v>309</x:v>
      </x:c>
      <x:c r="E81" s="3">
        <x:f t="shared" si="3"/>
        <x:v>0.019047619047619049</x:v>
      </x:c>
      <x:c r="F81" s="3">
        <x:f t="shared" si="4"/>
        <x:v>17.428571428571431</x:v>
      </x:c>
      <x:c r="G81" s="3">
        <x:f>10-F81</x:f>
        <x:v>-7.4285714285714306</x:v>
      </x:c>
      <x:c r="H81" s="3">
        <x:f t="shared" si="5"/>
        <x:v>6.0000000000000009</x:v>
      </x:c>
      <x:c r="I81" s="3">
        <x:f>3-H81</x:f>
        <x:v>-3.0000000000000009</x:v>
      </x:c>
      <x:c r="K81" s="17"/>
      <x:c r="L81" s="17"/>
      <x:c r="M81" s="17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7"/>
      <x:c r="AA81" s="17"/>
      <x:c r="AB81" s="17"/>
      <x:c r="AC81" s="17"/>
      <x:c r="AD81" s="17"/>
      <x:c r="AE81" s="17"/>
      <x:c r="AF81" s="17"/>
      <x:c r="AG81" s="17"/>
    </x:row>
    <x:row r="82" spans="1:33" hidden="1">
      <x:c r="A82" t="s">
        <x:v>258</x:v>
      </x:c>
      <x:c r="B82" t="s">
        <x:v>259</x:v>
      </x:c>
      <x:c r="C82">
        <x:v>6</x:v>
      </x:c>
      <x:c r="G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</x:row>
    <x:row r="83" spans="1:33" s="3" customFormat="1">
      <x:c r="A83" s="3" t="s">
        <x:v>171</x:v>
      </x:c>
      <x:c r="B83" s="3" t="s">
        <x:v>248</x:v>
      </x:c>
      <x:c r="C83" s="3">
        <x:v>6</x:v>
      </x:c>
      <x:c r="D83" s="3" t="s">
        <x:v>309</x:v>
      </x:c>
      <x:c r="E83" s="3">
        <x:f>C83/315</x:f>
        <x:v>0.019047619047619049</x:v>
      </x:c>
      <x:c r="F83" s="3">
        <x:f>E83*915</x:f>
        <x:v>17.428571428571431</x:v>
      </x:c>
      <x:c r="G83" s="3">
        <x:f>13-F83</x:f>
        <x:v>-4.4285714285714306</x:v>
      </x:c>
      <x:c r="H83" s="3">
        <x:f>E83*315</x:f>
        <x:v>6.0000000000000009</x:v>
      </x:c>
      <x:c r="I83" s="3">
        <x:f>1-H83</x:f>
        <x:v>-5.0000000000000009</x:v>
      </x:c>
      <x:c r="K83" s="17"/>
      <x:c r="L83" s="17"/>
      <x:c r="M83" s="17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7"/>
      <x:c r="AA83" s="17"/>
      <x:c r="AB83" s="17"/>
      <x:c r="AC83" s="17"/>
      <x:c r="AD83" s="17"/>
      <x:c r="AE83" s="17"/>
      <x:c r="AF83" s="17"/>
      <x:c r="AG83" s="17"/>
    </x:row>
    <x:row r="84" spans="1:33" hidden="1">
      <x:c r="A84" t="s">
        <x:v>212</x:v>
      </x:c>
      <x:c r="B84" t="s">
        <x:v>252</x:v>
      </x:c>
      <x:c r="C84">
        <x:v>6</x:v>
      </x:c>
      <x:c r="G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</x:row>
    <x:row r="85" spans="1:33" hidden="1">
      <x:c r="A85" t="s">
        <x:v>63</x:v>
      </x:c>
      <x:c r="B85" t="s">
        <x:v>201</x:v>
      </x:c>
      <x:c r="C85">
        <x:v>5</x:v>
      </x:c>
      <x:c r="G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</x:row>
    <x:row r="86" spans="1:33" hidden="1">
      <x:c r="A86" t="s">
        <x:v>34</x:v>
      </x:c>
      <x:c r="B86" t="s">
        <x:v>277</x:v>
      </x:c>
      <x:c r="C86">
        <x:v>5</x:v>
      </x:c>
      <x:c r="G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</x:row>
    <x:row r="87" spans="1:10">
      <x:c r="A87" t="s">
        <x:v>83</x:v>
      </x:c>
      <x:c r="B87" t="s">
        <x:v>248</x:v>
      </x:c>
      <x:c r="C87">
        <x:v>5</x:v>
      </x:c>
      <x:c r="D87" t="s">
        <x:v>14</x:v>
      </x:c>
      <x:c r="E87">
        <x:f>C87/315</x:f>
        <x:v>0.015873015873015872</x:v>
      </x:c>
      <x:c r="F87" s="1">
        <x:f t="shared" ref="F87:F89" si="6">E87*915</x:f>
        <x:v>14.523809523809524</x:v>
      </x:c>
      <x:c r="G87">
        <x:f>12-F87</x:f>
        <x:v>-2.5238095238095237</x:v>
      </x:c>
      <x:c r="H87" s="1">
        <x:f t="shared" ref="H87:H89" si="7">E87*315</x:f>
        <x:v>5</x:v>
      </x:c>
      <x:c r="I87">
        <x:f>2-H87</x:f>
        <x:v>-3</x:v>
      </x:c>
      <x:c r="J87"/>
    </x:row>
    <x:row r="88" spans="1:33" s="1" customFormat="1">
      <x:c r="A88" s="1" t="s">
        <x:v>242</x:v>
      </x:c>
      <x:c r="B88" s="1" t="s">
        <x:v>204</x:v>
      </x:c>
      <x:c r="C88" s="1">
        <x:v>5</x:v>
      </x:c>
      <x:c r="D88" s="1" t="s">
        <x:v>14</x:v>
      </x:c>
      <x:c r="E88" s="1">
        <x:f t="shared" ref="E88:E89" si="8">(C88/315)</x:f>
        <x:v>0.015873015873015872</x:v>
      </x:c>
      <x:c r="F88" s="1">
        <x:f t="shared" si="6"/>
        <x:v>14.523809523809524</x:v>
      </x:c>
      <x:c r="G88" s="5">
        <x:f>7-F88</x:f>
        <x:v>-7.5238095238095237</x:v>
      </x:c>
      <x:c r="H88" s="1">
        <x:f t="shared" si="7"/>
        <x:v>5</x:v>
      </x:c>
      <x:c r="I88" s="9">
        <x:f>7-H88</x:f>
        <x:v>2</x:v>
      </x:c>
      <x:c r="J88" s="9"/>
      <x:c r="K88" s="22" t="s">
        <x:v>309</x:v>
      </x:c>
      <x:c r="L88" s="21" t="s">
        <x:v>5</x:v>
      </x:c>
      <x:c r="M88" s="18">
        <x:f>SUM(G67,G76,G81:G83,G93,G134,G148,G154,G161,G188:G194,G204,G212,G260,G293:G312,G354,G359,G361:G368)</x:f>
        <x:v>-18.666666666666686</x:v>
      </x:c>
      <x:c r="N88" s="20" t="s">
        <x:v>292</x:v>
      </x:c>
      <x:c r="O88" s="21" t="s">
        <x:v>1</x:v>
      </x:c>
      <x:c r="P88" s="18">
        <x:f>SUM(I67,I76,I81:I83,I93,I134,I148,I154,I161,I188:I194,I204,I212,I260,I293:I312,I354,I359,I361:I368)</x:f>
        <x:v>-3.0000000000000027</x:v>
      </x:c>
      <x:c r="Q88" s="20" t="s">
        <x:v>292</x:v>
      </x:c>
      <x:c r="R88" s="17"/>
      <x:c r="S88" s="17"/>
      <x:c r="T88" s="17"/>
      <x:c r="U88" s="17"/>
      <x:c r="V88" s="17"/>
      <x:c r="W88" s="17"/>
      <x:c r="X88" s="17"/>
      <x:c r="Y88" s="17"/>
      <x:c r="Z88" s="17"/>
      <x:c r="AA88" s="17"/>
      <x:c r="AB88" s="17"/>
      <x:c r="AC88" s="17"/>
      <x:c r="AD88" s="17"/>
      <x:c r="AE88" s="17"/>
      <x:c r="AF88" s="17"/>
      <x:c r="AG88" s="17"/>
    </x:row>
    <x:row r="89" spans="1:33" s="2" customFormat="1">
      <x:c r="A89" s="2" t="s">
        <x:v>238</x:v>
      </x:c>
      <x:c r="B89" s="2" t="s">
        <x:v>204</x:v>
      </x:c>
      <x:c r="C89" s="2">
        <x:v>5</x:v>
      </x:c>
      <x:c r="D89" s="2" t="s">
        <x:v>18</x:v>
      </x:c>
      <x:c r="E89" s="2">
        <x:f t="shared" si="8"/>
        <x:v>0.015873015873015872</x:v>
      </x:c>
      <x:c r="F89" s="1">
        <x:f t="shared" si="6"/>
        <x:v>14.523809523809524</x:v>
      </x:c>
      <x:c r="G89" s="6">
        <x:f>43-F89</x:f>
        <x:v>28.476190476190474</x:v>
      </x:c>
      <x:c r="H89" s="1">
        <x:f t="shared" si="7"/>
        <x:v>5</x:v>
      </x:c>
      <x:c r="I89" s="10">
        <x:f>12-H89</x:f>
        <x:v>7</x:v>
      </x:c>
      <x:c r="J89" s="10"/>
      <x:c r="K89" s="23"/>
      <x:c r="L89" s="21" t="s">
        <x:v>4</x:v>
      </x:c>
      <x:c r="M89" s="18">
        <x:f>SUM(F67,F76,F81:F83,F93,F134,F148,F154,F161,F188:F194,F204,F212,F260,F293:F312,F354,F359,F361:F368)</x:f>
        <x:v>162.6666666666666</x:v>
      </x:c>
      <x:c r="N89" s="18">
        <x:f>M88/M89</x:f>
        <x:v>-0.11475409836065591</x:v>
      </x:c>
      <x:c r="O89" s="21" t="s">
        <x:v>4</x:v>
      </x:c>
      <x:c r="P89" s="18">
        <x:f>SUM(H67,H76,H81:H83,H93,H134,H148,H154,H161,H188:H194,H204,H212,H260,H293:H312,H354,H359,H361:H368)</x:f>
        <x:v>56</x:v>
      </x:c>
      <x:c r="Q89" s="18">
        <x:f>P88/P89</x:f>
        <x:v>-0.053571428571428617</x:v>
      </x:c>
      <x:c r="R89" s="17"/>
      <x:c r="S89" s="17"/>
      <x:c r="T89" s="17"/>
      <x:c r="U89" s="17"/>
      <x:c r="V89" s="17"/>
      <x:c r="W89" s="17"/>
      <x:c r="X89" s="17"/>
      <x:c r="Y89" s="17"/>
      <x:c r="Z89" s="17"/>
      <x:c r="AA89" s="17"/>
      <x:c r="AB89" s="17"/>
      <x:c r="AC89" s="17"/>
      <x:c r="AD89" s="17"/>
      <x:c r="AE89" s="17"/>
      <x:c r="AF89" s="17"/>
      <x:c r="AG89" s="17"/>
    </x:row>
    <x:row r="90" spans="1:33" hidden="1">
      <x:c r="A90">
        <x:v>14</x:v>
      </x:c>
      <x:c r="B90" t="s">
        <x:v>241</x:v>
      </x:c>
      <x:c r="C90">
        <x:v>5</x:v>
      </x:c>
      <x:c r="G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</x:row>
    <x:row r="91" spans="1:33" hidden="1">
      <x:c r="A91" t="s">
        <x:v>147</x:v>
      </x:c>
      <x:c r="B91" t="s">
        <x:v>165</x:v>
      </x:c>
      <x:c r="C91">
        <x:v>5</x:v>
      </x:c>
      <x:c r="G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</x:row>
    <x:row r="92" spans="1:33" hidden="1">
      <x:c r="A92" t="s">
        <x:v>122</x:v>
      </x:c>
      <x:c r="B92" t="s">
        <x:v>225</x:v>
      </x:c>
      <x:c r="C92">
        <x:v>5</x:v>
      </x:c>
      <x:c r="G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</x:row>
    <x:row r="93" spans="1:33" s="3" customFormat="1">
      <x:c r="A93" s="3" t="s">
        <x:v>176</x:v>
      </x:c>
      <x:c r="B93" s="3" t="s">
        <x:v>248</x:v>
      </x:c>
      <x:c r="C93" s="3">
        <x:v>5</x:v>
      </x:c>
      <x:c r="D93" s="3" t="s">
        <x:v>309</x:v>
      </x:c>
      <x:c r="E93" s="3">
        <x:f>C93/315</x:f>
        <x:v>0.015873015873015872</x:v>
      </x:c>
      <x:c r="F93" s="3">
        <x:f>E93*915</x:f>
        <x:v>14.523809523809524</x:v>
      </x:c>
      <x:c r="G93" s="3">
        <x:f>15-F93</x:f>
        <x:v>0.47619047619047628</x:v>
      </x:c>
      <x:c r="H93" s="3">
        <x:f>E93*315</x:f>
        <x:v>5</x:v>
      </x:c>
      <x:c r="I93" s="3">
        <x:f>12-H93</x:f>
        <x:v>7</x:v>
      </x:c>
      <x:c r="K93" s="17"/>
      <x:c r="L93" s="17"/>
      <x:c r="M93" s="17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7"/>
      <x:c r="AA93" s="17"/>
      <x:c r="AB93" s="17"/>
      <x:c r="AC93" s="17"/>
      <x:c r="AD93" s="17"/>
      <x:c r="AE93" s="17"/>
      <x:c r="AF93" s="17"/>
      <x:c r="AG93" s="17"/>
    </x:row>
    <x:row r="94" spans="1:33" hidden="1">
      <x:c r="A94" t="s">
        <x:v>109</x:v>
      </x:c>
      <x:c r="B94" t="s">
        <x:v>222</x:v>
      </x:c>
      <x:c r="C94">
        <x:v>5</x:v>
      </x:c>
      <x:c r="G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</x:row>
    <x:row r="95" spans="1:33" hidden="1">
      <x:c r="A95" t="s">
        <x:v>183</x:v>
      </x:c>
      <x:c r="B95" t="s">
        <x:v>215</x:v>
      </x:c>
      <x:c r="C95">
        <x:v>5</x:v>
      </x:c>
      <x:c r="G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</x:row>
    <x:row r="96" spans="1:33" hidden="1">
      <x:c r="A96">
        <x:v>4</x:v>
      </x:c>
      <x:c r="B96" t="s">
        <x:v>241</x:v>
      </x:c>
      <x:c r="C96">
        <x:v>5</x:v>
      </x:c>
      <x:c r="G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</x:row>
    <x:row r="97" spans="1:33" hidden="1">
      <x:c r="A97">
        <x:v>7</x:v>
      </x:c>
      <x:c r="B97" t="s">
        <x:v>241</x:v>
      </x:c>
      <x:c r="C97">
        <x:v>5</x:v>
      </x:c>
      <x:c r="G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</x:row>
    <x:row r="98" spans="1:33" hidden="1">
      <x:c r="A98" t="s">
        <x:v>80</x:v>
      </x:c>
      <x:c r="B98" t="s">
        <x:v>270</x:v>
      </x:c>
      <x:c r="C98">
        <x:v>5</x:v>
      </x:c>
      <x:c r="G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</x:row>
    <x:row r="99" spans="1:33" s="1" customFormat="1">
      <x:c r="A99" s="1" t="s">
        <x:v>265</x:v>
      </x:c>
      <x:c r="B99" s="1" t="s">
        <x:v>204</x:v>
      </x:c>
      <x:c r="C99" s="1">
        <x:v>4</x:v>
      </x:c>
      <x:c r="D99" s="1" t="s">
        <x:v>14</x:v>
      </x:c>
      <x:c r="E99" s="1">
        <x:f>(C99/315)</x:f>
        <x:v>0.012698412698412698</x:v>
      </x:c>
      <x:c r="F99" s="1">
        <x:f>E99*915</x:f>
        <x:v>11.619047619047619</x:v>
      </x:c>
      <x:c r="G99" s="5">
        <x:f>17-F99</x:f>
        <x:v>5.3809523809523814</x:v>
      </x:c>
      <x:c r="H99" s="1">
        <x:f>E99*315</x:f>
        <x:v>4</x:v>
      </x:c>
      <x:c r="I99" s="9">
        <x:f>2-H99</x:f>
        <x:v>-2</x:v>
      </x:c>
      <x:c r="J99" s="9"/>
      <x:c r="K99" s="18"/>
      <x:c r="L99" s="18"/>
      <x:c r="M99" s="18"/>
      <x:c r="N99" s="18"/>
      <x:c r="O99" s="18"/>
      <x:c r="P99" s="18"/>
      <x:c r="Q99" s="18"/>
      <x:c r="R99" s="17"/>
      <x:c r="S99" s="17"/>
      <x:c r="T99" s="17"/>
      <x:c r="U99" s="17"/>
      <x:c r="V99" s="17"/>
      <x:c r="W99" s="17"/>
      <x:c r="X99" s="17"/>
      <x:c r="Y99" s="17"/>
      <x:c r="Z99" s="17"/>
      <x:c r="AA99" s="17"/>
      <x:c r="AB99" s="17"/>
      <x:c r="AC99" s="17"/>
      <x:c r="AD99" s="17"/>
      <x:c r="AE99" s="17"/>
      <x:c r="AF99" s="17"/>
      <x:c r="AG99" s="17"/>
    </x:row>
    <x:row r="100" spans="1:33" hidden="1">
      <x:c r="A100" t="s">
        <x:v>64</x:v>
      </x:c>
      <x:c r="B100" t="s">
        <x:v>252</x:v>
      </x:c>
      <x:c r="C100">
        <x:v>4</x:v>
      </x:c>
      <x:c r="G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</x:row>
    <x:row r="101" spans="1:33" s="2" customFormat="1">
      <x:c r="A101" s="2" t="s">
        <x:v>261</x:v>
      </x:c>
      <x:c r="B101" s="2" t="s">
        <x:v>204</x:v>
      </x:c>
      <x:c r="C101" s="2">
        <x:v>4</x:v>
      </x:c>
      <x:c r="D101" s="2" t="s">
        <x:v>18</x:v>
      </x:c>
      <x:c r="E101" s="2">
        <x:f>(C101/315)</x:f>
        <x:v>0.012698412698412698</x:v>
      </x:c>
      <x:c r="F101" s="1">
        <x:f>E101*915</x:f>
        <x:v>11.619047619047619</x:v>
      </x:c>
      <x:c r="G101" s="6">
        <x:f>23-F101</x:f>
        <x:v>11.380952380952381</x:v>
      </x:c>
      <x:c r="H101" s="1">
        <x:f>E101*315</x:f>
        <x:v>4</x:v>
      </x:c>
      <x:c r="I101" s="10">
        <x:f>4-H101</x:f>
        <x:v>0</x:v>
      </x:c>
      <x:c r="J101" s="10"/>
      <x:c r="K101" s="18"/>
      <x:c r="L101" s="18"/>
      <x:c r="M101" s="18"/>
      <x:c r="N101" s="18"/>
      <x:c r="O101" s="18"/>
      <x:c r="P101" s="18"/>
      <x:c r="Q101" s="18"/>
      <x:c r="R101" s="17"/>
      <x:c r="S101" s="17"/>
      <x:c r="T101" s="17"/>
      <x:c r="U101" s="17"/>
      <x:c r="V101" s="17"/>
      <x:c r="W101" s="17"/>
      <x:c r="X101" s="17"/>
      <x:c r="Y101" s="17"/>
      <x:c r="Z101" s="17"/>
      <x:c r="AA101" s="17"/>
      <x:c r="AB101" s="17"/>
      <x:c r="AC101" s="17"/>
      <x:c r="AD101" s="17"/>
      <x:c r="AE101" s="17"/>
      <x:c r="AF101" s="17"/>
      <x:c r="AG101" s="17"/>
    </x:row>
    <x:row r="102" spans="1:33" hidden="1">
      <x:c r="A102">
        <x:v>8</x:v>
      </x:c>
      <x:c r="B102" t="s">
        <x:v>241</x:v>
      </x:c>
      <x:c r="C102">
        <x:v>4</x:v>
      </x:c>
      <x:c r="G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</x:row>
    <x:row r="103" spans="1:33" hidden="1">
      <x:c r="A103" t="s">
        <x:v>155</x:v>
      </x:c>
      <x:c r="B103" t="s">
        <x:v>237</x:v>
      </x:c>
      <x:c r="C103">
        <x:v>4</x:v>
      </x:c>
      <x:c r="G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</x:row>
    <x:row r="104" spans="1:33" hidden="1">
      <x:c r="A104" t="s">
        <x:v>169</x:v>
      </x:c>
      <x:c r="B104" t="s">
        <x:v>237</x:v>
      </x:c>
      <x:c r="C104">
        <x:v>4</x:v>
      </x:c>
      <x:c r="G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</x:row>
    <x:row r="105" spans="1:33" hidden="1">
      <x:c r="A105" t="s">
        <x:v>118</x:v>
      </x:c>
      <x:c r="B105" t="s">
        <x:v>278</x:v>
      </x:c>
      <x:c r="C105">
        <x:v>4</x:v>
      </x:c>
      <x:c r="G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</x:row>
    <x:row r="106" spans="1:33" hidden="1">
      <x:c r="A106" t="s">
        <x:v>84</x:v>
      </x:c>
      <x:c r="B106" t="s">
        <x:v>266</x:v>
      </x:c>
      <x:c r="C106">
        <x:v>4</x:v>
      </x:c>
      <x:c r="G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</x:row>
    <x:row r="107" spans="1:33" hidden="1">
      <x:c r="A107" t="s">
        <x:v>76</x:v>
      </x:c>
      <x:c r="B107" t="s">
        <x:v>77</x:v>
      </x:c>
      <x:c r="C107">
        <x:v>4</x:v>
      </x:c>
      <x:c r="G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</x:row>
    <x:row r="108" spans="1:33" s="1" customFormat="1">
      <x:c r="A108" s="1" t="s">
        <x:v>366</x:v>
      </x:c>
      <x:c r="B108" s="1" t="s">
        <x:v>204</x:v>
      </x:c>
      <x:c r="C108" s="1">
        <x:v>4</x:v>
      </x:c>
      <x:c r="D108" s="1" t="s">
        <x:v>14</x:v>
      </x:c>
      <x:c r="E108" s="1">
        <x:f>(C108/315)</x:f>
        <x:v>0.012698412698412698</x:v>
      </x:c>
      <x:c r="F108" s="1">
        <x:f>E108*915</x:f>
        <x:v>11.619047619047619</x:v>
      </x:c>
      <x:c r="G108" s="5">
        <x:f>9-F108</x:f>
        <x:v>-2.6190476190476186</x:v>
      </x:c>
      <x:c r="H108" s="1">
        <x:f>E108*315</x:f>
        <x:v>4</x:v>
      </x:c>
      <x:c r="I108" s="9">
        <x:f>4-H108</x:f>
        <x:v>0</x:v>
      </x:c>
      <x:c r="J108" s="9"/>
      <x:c r="K108" s="18"/>
      <x:c r="L108" s="18"/>
      <x:c r="M108" s="18"/>
      <x:c r="N108" s="18"/>
      <x:c r="O108" s="18"/>
      <x:c r="P108" s="18"/>
      <x:c r="Q108" s="18"/>
      <x:c r="R108" s="17"/>
      <x:c r="S108" s="17"/>
      <x:c r="T108" s="17"/>
      <x:c r="U108" s="17"/>
      <x:c r="V108" s="17"/>
      <x:c r="W108" s="17"/>
      <x:c r="X108" s="17"/>
      <x:c r="Y108" s="17"/>
      <x:c r="Z108" s="17"/>
      <x:c r="AA108" s="17"/>
      <x:c r="AB108" s="17"/>
      <x:c r="AC108" s="17"/>
      <x:c r="AD108" s="17"/>
      <x:c r="AE108" s="17"/>
      <x:c r="AF108" s="17"/>
      <x:c r="AG108" s="17"/>
    </x:row>
    <x:row r="109" spans="1:33" hidden="1">
      <x:c r="A109" t="s">
        <x:v>125</x:v>
      </x:c>
      <x:c r="B109" t="s">
        <x:v>277</x:v>
      </x:c>
      <x:c r="C109">
        <x:v>4</x:v>
      </x:c>
      <x:c r="G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</x:row>
    <x:row r="110" spans="1:33" hidden="1">
      <x:c r="A110" t="s">
        <x:v>263</x:v>
      </x:c>
      <x:c r="B110" t="s">
        <x:v>225</x:v>
      </x:c>
      <x:c r="C110">
        <x:v>4</x:v>
      </x:c>
      <x:c r="G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</x:row>
    <x:row r="111" spans="1:33" s="1" customFormat="1">
      <x:c r="A111" s="1" t="s">
        <x:v>348</x:v>
      </x:c>
      <x:c r="B111" s="1" t="s">
        <x:v>204</x:v>
      </x:c>
      <x:c r="C111" s="1">
        <x:v>4</x:v>
      </x:c>
      <x:c r="D111" s="1" t="s">
        <x:v>14</x:v>
      </x:c>
      <x:c r="E111" s="1">
        <x:f>(C111/315)</x:f>
        <x:v>0.012698412698412698</x:v>
      </x:c>
      <x:c r="F111" s="1">
        <x:f t="shared" ref="F111:F113" si="9">E111*915</x:f>
        <x:v>11.619047619047619</x:v>
      </x:c>
      <x:c r="G111" s="5">
        <x:f>7-F111</x:f>
        <x:v>-4.6190476190476186</x:v>
      </x:c>
      <x:c r="H111" s="1">
        <x:f t="shared" ref="H111:H113" si="10">E111*315</x:f>
        <x:v>4</x:v>
      </x:c>
      <x:c r="I111" s="9">
        <x:f>3-H111</x:f>
        <x:v>-1</x:v>
      </x:c>
      <x:c r="J111" s="9"/>
      <x:c r="K111" s="18"/>
      <x:c r="L111" s="18"/>
      <x:c r="M111" s="18"/>
      <x:c r="N111" s="18"/>
      <x:c r="O111" s="18"/>
      <x:c r="P111" s="18"/>
      <x:c r="Q111" s="18"/>
      <x:c r="R111" s="17"/>
      <x:c r="S111" s="17"/>
      <x:c r="T111" s="17"/>
      <x:c r="U111" s="17"/>
      <x:c r="V111" s="17"/>
      <x:c r="W111" s="17"/>
      <x:c r="X111" s="17"/>
      <x:c r="Y111" s="17"/>
      <x:c r="Z111" s="17"/>
      <x:c r="AA111" s="17"/>
      <x:c r="AB111" s="17"/>
      <x:c r="AC111" s="17"/>
      <x:c r="AD111" s="17"/>
      <x:c r="AE111" s="17"/>
      <x:c r="AF111" s="17"/>
      <x:c r="AG111" s="17"/>
    </x:row>
    <x:row r="112" spans="1:33" s="2" customFormat="1">
      <x:c r="A112" s="2" t="s">
        <x:v>72</x:v>
      </x:c>
      <x:c r="B112" s="2" t="s">
        <x:v>248</x:v>
      </x:c>
      <x:c r="C112" s="2">
        <x:v>4</x:v>
      </x:c>
      <x:c r="D112" s="2" t="s">
        <x:v>18</x:v>
      </x:c>
      <x:c r="E112" s="2">
        <x:f t="shared" ref="E112:E113" si="11">C112/315</x:f>
        <x:v>0.012698412698412698</x:v>
      </x:c>
      <x:c r="F112" s="2">
        <x:f t="shared" si="9"/>
        <x:v>11.619047619047619</x:v>
      </x:c>
      <x:c r="G112" s="2">
        <x:f>11-F112</x:f>
        <x:v>-0.61904761904761862</x:v>
      </x:c>
      <x:c r="H112" s="2">
        <x:f t="shared" si="10"/>
        <x:v>4</x:v>
      </x:c>
      <x:c r="I112" s="2">
        <x:f>1-H112</x:f>
        <x:v>-3</x:v>
      </x:c>
      <x:c r="K112" s="17"/>
      <x:c r="L112" s="17"/>
      <x:c r="M112" s="17"/>
      <x:c r="N112" s="17"/>
      <x:c r="O112" s="17"/>
      <x:c r="P112" s="17"/>
      <x:c r="Q112" s="17"/>
      <x:c r="R112" s="17"/>
      <x:c r="S112" s="17"/>
      <x:c r="T112" s="17"/>
      <x:c r="U112" s="17"/>
      <x:c r="V112" s="17"/>
      <x:c r="W112" s="17"/>
      <x:c r="X112" s="17"/>
      <x:c r="Y112" s="17"/>
      <x:c r="Z112" s="17"/>
      <x:c r="AA112" s="17"/>
      <x:c r="AB112" s="17"/>
      <x:c r="AC112" s="17"/>
      <x:c r="AD112" s="17"/>
      <x:c r="AE112" s="17"/>
      <x:c r="AF112" s="17"/>
      <x:c r="AG112" s="17"/>
    </x:row>
    <x:row r="113" spans="1:33" s="2" customFormat="1">
      <x:c r="A113" s="2" t="s">
        <x:v>107</x:v>
      </x:c>
      <x:c r="B113" s="2" t="s">
        <x:v>248</x:v>
      </x:c>
      <x:c r="C113" s="2">
        <x:v>4</x:v>
      </x:c>
      <x:c r="D113" s="2" t="s">
        <x:v>18</x:v>
      </x:c>
      <x:c r="E113" s="2">
        <x:f t="shared" si="11"/>
        <x:v>0.012698412698412698</x:v>
      </x:c>
      <x:c r="F113" s="2">
        <x:f t="shared" si="9"/>
        <x:v>11.619047619047619</x:v>
      </x:c>
      <x:c r="G113" s="2">
        <x:f>8-F113</x:f>
        <x:v>-3.6190476190476186</x:v>
      </x:c>
      <x:c r="H113" s="2">
        <x:f t="shared" si="10"/>
        <x:v>4</x:v>
      </x:c>
      <x:c r="I113" s="2">
        <x:f>8-H113</x:f>
        <x:v>4</x:v>
      </x:c>
      <x:c r="K113" s="17"/>
      <x:c r="L113" s="17"/>
      <x:c r="M113" s="17"/>
      <x:c r="N113" s="17"/>
      <x:c r="O113" s="17"/>
      <x:c r="P113" s="17"/>
      <x:c r="Q113" s="17"/>
      <x:c r="R113" s="17"/>
      <x:c r="S113" s="17"/>
      <x:c r="T113" s="17"/>
      <x:c r="U113" s="17"/>
      <x:c r="V113" s="17"/>
      <x:c r="W113" s="17"/>
      <x:c r="X113" s="17"/>
      <x:c r="Y113" s="17"/>
      <x:c r="Z113" s="17"/>
      <x:c r="AA113" s="17"/>
      <x:c r="AB113" s="17"/>
      <x:c r="AC113" s="17"/>
      <x:c r="AD113" s="17"/>
      <x:c r="AE113" s="17"/>
      <x:c r="AF113" s="17"/>
      <x:c r="AG113" s="17"/>
    </x:row>
    <x:row r="114" spans="1:33" hidden="1">
      <x:c r="A114" t="s">
        <x:v>126</x:v>
      </x:c>
      <x:c r="B114" t="s">
        <x:v>215</x:v>
      </x:c>
      <x:c r="C114">
        <x:v>4</x:v>
      </x:c>
      <x:c r="G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</x:row>
    <x:row r="115" spans="1:33" s="2" customFormat="1">
      <x:c r="A115" s="2" t="s">
        <x:v>21</x:v>
      </x:c>
      <x:c r="B115" s="2" t="s">
        <x:v>204</x:v>
      </x:c>
      <x:c r="C115" s="2">
        <x:v>4</x:v>
      </x:c>
      <x:c r="D115" s="2" t="s">
        <x:v>18</x:v>
      </x:c>
      <x:c r="E115" s="2">
        <x:f>(C115/315)</x:f>
        <x:v>0.012698412698412698</x:v>
      </x:c>
      <x:c r="F115" s="1">
        <x:f t="shared" ref="F115:F116" si="12">E115*915</x:f>
        <x:v>11.619047619047619</x:v>
      </x:c>
      <x:c r="G115" s="6">
        <x:f>2-F115</x:f>
        <x:v>-9.6190476190476186</x:v>
      </x:c>
      <x:c r="H115" s="1">
        <x:f t="shared" ref="H115:H116" si="13">E115*315</x:f>
        <x:v>4</x:v>
      </x:c>
      <x:c r="I115" s="10">
        <x:f>0-H115</x:f>
        <x:v>-4</x:v>
      </x:c>
      <x:c r="J115" s="15"/>
      <x:c r="K115" s="17"/>
      <x:c r="L115" s="17"/>
      <x:c r="M115" s="17"/>
      <x:c r="N115" s="17"/>
      <x:c r="O115" s="17"/>
      <x:c r="P115" s="17"/>
      <x:c r="Q115" s="17"/>
      <x:c r="R115" s="17"/>
      <x:c r="S115" s="17"/>
      <x:c r="T115" s="17"/>
      <x:c r="U115" s="17"/>
      <x:c r="V115" s="17"/>
      <x:c r="W115" s="17"/>
      <x:c r="X115" s="17"/>
      <x:c r="Y115" s="17"/>
      <x:c r="Z115" s="17"/>
      <x:c r="AA115" s="17"/>
      <x:c r="AB115" s="17"/>
      <x:c r="AC115" s="17"/>
      <x:c r="AD115" s="17"/>
      <x:c r="AE115" s="17"/>
      <x:c r="AF115" s="17"/>
      <x:c r="AG115" s="17"/>
    </x:row>
    <x:row r="116" spans="1:10">
      <x:c r="A116" t="s">
        <x:v>260</x:v>
      </x:c>
      <x:c r="B116" t="s">
        <x:v>248</x:v>
      </x:c>
      <x:c r="C116">
        <x:v>4</x:v>
      </x:c>
      <x:c r="D116" t="s">
        <x:v>14</x:v>
      </x:c>
      <x:c r="E116">
        <x:f>C116/315</x:f>
        <x:v>0.012698412698412698</x:v>
      </x:c>
      <x:c r="F116" s="1">
        <x:f t="shared" si="12"/>
        <x:v>11.619047619047619</x:v>
      </x:c>
      <x:c r="G116">
        <x:f>21-F116</x:f>
        <x:v>9.3809523809523814</x:v>
      </x:c>
      <x:c r="H116" s="1">
        <x:f t="shared" si="13"/>
        <x:v>4</x:v>
      </x:c>
      <x:c r="I116">
        <x:f>3-H116</x:f>
        <x:v>-1</x:v>
      </x:c>
      <x:c r="J116"/>
    </x:row>
    <x:row r="117" spans="1:33" hidden="1">
      <x:c r="A117" t="s">
        <x:v>299</x:v>
      </x:c>
      <x:c r="B117" t="s">
        <x:v>225</x:v>
      </x:c>
      <x:c r="C117">
        <x:v>4</x:v>
      </x:c>
      <x:c r="G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</x:row>
    <x:row r="118" spans="1:33" s="1" customFormat="1">
      <x:c r="A118" s="1" t="s">
        <x:v>330</x:v>
      </x:c>
      <x:c r="B118" s="1" t="s">
        <x:v>204</x:v>
      </x:c>
      <x:c r="C118" s="1">
        <x:v>4</x:v>
      </x:c>
      <x:c r="D118" s="1" t="s">
        <x:v>14</x:v>
      </x:c>
      <x:c r="E118" s="1">
        <x:f>(C118/315)</x:f>
        <x:v>0.012698412698412698</x:v>
      </x:c>
      <x:c r="F118" s="1">
        <x:f>E118*915</x:f>
        <x:v>11.619047619047619</x:v>
      </x:c>
      <x:c r="G118" s="5">
        <x:f>9-F118</x:f>
        <x:v>-2.6190476190476186</x:v>
      </x:c>
      <x:c r="H118" s="1">
        <x:f>E118*315</x:f>
        <x:v>4</x:v>
      </x:c>
      <x:c r="I118" s="9">
        <x:f>1-H118</x:f>
        <x:v>-3</x:v>
      </x:c>
      <x:c r="J118" s="14"/>
      <x:c r="K118" s="17"/>
      <x:c r="L118" s="17"/>
      <x:c r="M118" s="17"/>
      <x:c r="N118" s="17"/>
      <x:c r="O118" s="17"/>
      <x:c r="P118" s="17"/>
      <x:c r="Q118" s="17"/>
      <x:c r="R118" s="17"/>
      <x:c r="S118" s="17"/>
      <x:c r="T118" s="17"/>
      <x:c r="U118" s="17"/>
      <x:c r="V118" s="17"/>
      <x:c r="W118" s="17"/>
      <x:c r="X118" s="17"/>
      <x:c r="Y118" s="17"/>
      <x:c r="Z118" s="17"/>
      <x:c r="AA118" s="17"/>
      <x:c r="AB118" s="17"/>
      <x:c r="AC118" s="17"/>
      <x:c r="AD118" s="17"/>
      <x:c r="AE118" s="17"/>
      <x:c r="AF118" s="17"/>
      <x:c r="AG118" s="17"/>
    </x:row>
    <x:row r="119" spans="1:33" hidden="1">
      <x:c r="A119" t="s">
        <x:v>102</x:v>
      </x:c>
      <x:c r="B119" t="s">
        <x:v>175</x:v>
      </x:c>
      <x:c r="C119">
        <x:v>4</x:v>
      </x:c>
      <x:c r="G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</x:row>
    <x:row r="120" spans="1:33" hidden="1">
      <x:c r="A120" t="s">
        <x:v>268</x:v>
      </x:c>
      <x:c r="B120" t="s">
        <x:v>77</x:v>
      </x:c>
      <x:c r="C120">
        <x:v>4</x:v>
      </x:c>
      <x:c r="G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</x:row>
    <x:row r="121" spans="1:33" hidden="1">
      <x:c r="A121" t="s">
        <x:v>78</x:v>
      </x:c>
      <x:c r="B121" t="s">
        <x:v>187</x:v>
      </x:c>
      <x:c r="C121">
        <x:v>4</x:v>
      </x:c>
      <x:c r="G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</x:row>
    <x:row r="122" spans="1:33" hidden="1">
      <x:c r="A122" t="s">
        <x:v>88</x:v>
      </x:c>
      <x:c r="B122" t="s">
        <x:v>266</x:v>
      </x:c>
      <x:c r="C122">
        <x:v>4</x:v>
      </x:c>
      <x:c r="G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</x:row>
    <x:row r="123" spans="1:33" hidden="1">
      <x:c r="A123" t="s">
        <x:v>82</x:v>
      </x:c>
      <x:c r="B123" t="s">
        <x:v>266</x:v>
      </x:c>
      <x:c r="C123">
        <x:v>3</x:v>
      </x:c>
      <x:c r="G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</x:row>
    <x:row r="124" spans="1:33" s="2" customFormat="1">
      <x:c r="A124" s="2" t="s">
        <x:v>55</x:v>
      </x:c>
      <x:c r="B124" s="2" t="s">
        <x:v>204</x:v>
      </x:c>
      <x:c r="C124" s="2">
        <x:v>3</x:v>
      </x:c>
      <x:c r="D124" s="2" t="s">
        <x:v>18</x:v>
      </x:c>
      <x:c r="E124" s="2">
        <x:f>(C124/315)</x:f>
        <x:v>0.0095238095238095247</x:v>
      </x:c>
      <x:c r="F124" s="1">
        <x:f>E124*915</x:f>
        <x:v>8.7142857142857153</x:v>
      </x:c>
      <x:c r="G124" s="6">
        <x:f>2-F124</x:f>
        <x:v>-6.7142857142857153</x:v>
      </x:c>
      <x:c r="H124" s="1">
        <x:f>E124*315</x:f>
        <x:v>3.0000000000000004</x:v>
      </x:c>
      <x:c r="I124" s="10">
        <x:f>1-H124</x:f>
        <x:v>-2.0000000000000004</x:v>
      </x:c>
      <x:c r="J124" s="15"/>
      <x:c r="K124" s="17"/>
      <x:c r="L124" s="17"/>
      <x:c r="M124" s="17"/>
      <x:c r="N124" s="17"/>
      <x:c r="O124" s="17"/>
      <x:c r="P124" s="17"/>
      <x:c r="Q124" s="17"/>
      <x:c r="R124" s="17"/>
      <x:c r="S124" s="17"/>
      <x:c r="T124" s="17"/>
      <x:c r="U124" s="17"/>
      <x:c r="V124" s="17"/>
      <x:c r="W124" s="17"/>
      <x:c r="X124" s="17"/>
      <x:c r="Y124" s="17"/>
      <x:c r="Z124" s="17"/>
      <x:c r="AA124" s="17"/>
      <x:c r="AB124" s="17"/>
      <x:c r="AC124" s="17"/>
      <x:c r="AD124" s="17"/>
      <x:c r="AE124" s="17"/>
      <x:c r="AF124" s="17"/>
      <x:c r="AG124" s="17"/>
    </x:row>
    <x:row r="125" spans="1:33" hidden="1">
      <x:c r="A125" t="s">
        <x:v>275</x:v>
      </x:c>
      <x:c r="B125" t="s">
        <x:v>277</x:v>
      </x:c>
      <x:c r="C125">
        <x:v>3</x:v>
      </x:c>
      <x:c r="G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</x:row>
    <x:row r="126" spans="1:33" hidden="1">
      <x:c r="A126" t="s">
        <x:v>99</x:v>
      </x:c>
      <x:c r="B126" t="s">
        <x:v>252</x:v>
      </x:c>
      <x:c r="C126">
        <x:v>3</x:v>
      </x:c>
      <x:c r="G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</x:row>
    <x:row r="127" spans="1:33" hidden="1">
      <x:c r="A127" t="s">
        <x:v>254</x:v>
      </x:c>
      <x:c r="B127" t="s">
        <x:v>217</x:v>
      </x:c>
      <x:c r="C127">
        <x:v>3</x:v>
      </x:c>
      <x:c r="G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</x:row>
    <x:row r="128" spans="1:33" hidden="1">
      <x:c r="A128" t="s">
        <x:v>136</x:v>
      </x:c>
      <x:c r="B128" t="s">
        <x:v>277</x:v>
      </x:c>
      <x:c r="C128">
        <x:v>3</x:v>
      </x:c>
      <x:c r="G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</x:row>
    <x:row r="129" spans="1:33" hidden="1">
      <x:c r="A129">
        <x:v>3</x:v>
      </x:c>
      <x:c r="B129" t="s">
        <x:v>241</x:v>
      </x:c>
      <x:c r="C129">
        <x:v>3</x:v>
      </x:c>
      <x:c r="G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</x:row>
    <x:row r="130" spans="1:33" hidden="1">
      <x:c r="A130" t="s">
        <x:v>142</x:v>
      </x:c>
      <x:c r="B130" t="s">
        <x:v>266</x:v>
      </x:c>
      <x:c r="C130">
        <x:v>3</x:v>
      </x:c>
      <x:c r="G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</x:row>
    <x:row r="131" spans="1:33" hidden="1">
      <x:c r="A131" t="s">
        <x:v>127</x:v>
      </x:c>
      <x:c r="B131" t="s">
        <x:v>197</x:v>
      </x:c>
      <x:c r="C131">
        <x:v>3</x:v>
      </x:c>
      <x:c r="G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</x:row>
    <x:row r="132" spans="1:33" hidden="1">
      <x:c r="A132" t="s">
        <x:v>111</x:v>
      </x:c>
      <x:c r="B132" t="s">
        <x:v>215</x:v>
      </x:c>
      <x:c r="C132">
        <x:v>3</x:v>
      </x:c>
      <x:c r="G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</x:row>
    <x:row r="133" spans="1:33" hidden="1">
      <x:c r="A133" t="s">
        <x:v>25</x:v>
      </x:c>
      <x:c r="B133" t="s">
        <x:v>266</x:v>
      </x:c>
      <x:c r="C133">
        <x:v>3</x:v>
      </x:c>
      <x:c r="G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</x:row>
    <x:row r="134" spans="1:33" s="3" customFormat="1">
      <x:c r="A134" s="3" t="s">
        <x:v>170</x:v>
      </x:c>
      <x:c r="B134" s="3" t="s">
        <x:v>248</x:v>
      </x:c>
      <x:c r="C134" s="3">
        <x:v>3</x:v>
      </x:c>
      <x:c r="D134" s="3" t="s">
        <x:v>309</x:v>
      </x:c>
      <x:c r="E134" s="3">
        <x:f>C134/315</x:f>
        <x:v>0.0095238095238095247</x:v>
      </x:c>
      <x:c r="F134" s="3">
        <x:f>E134*915</x:f>
        <x:v>8.7142857142857153</x:v>
      </x:c>
      <x:c r="G134" s="3">
        <x:f>13-F134</x:f>
        <x:v>4.2857142857142847</x:v>
      </x:c>
      <x:c r="H134" s="3">
        <x:f>E134*315</x:f>
        <x:v>3.0000000000000004</x:v>
      </x:c>
      <x:c r="I134" s="3">
        <x:f>2-H134</x:f>
        <x:v>-1.0000000000000004</x:v>
      </x:c>
      <x:c r="K134" s="17"/>
      <x:c r="L134" s="17"/>
      <x:c r="M134" s="17"/>
      <x:c r="N134" s="17"/>
      <x:c r="O134" s="17"/>
      <x:c r="P134" s="17"/>
      <x:c r="Q134" s="17"/>
      <x:c r="R134" s="17"/>
      <x:c r="S134" s="17"/>
      <x:c r="T134" s="17"/>
      <x:c r="U134" s="17"/>
      <x:c r="V134" s="17"/>
      <x:c r="W134" s="17"/>
      <x:c r="X134" s="17"/>
      <x:c r="Y134" s="17"/>
      <x:c r="Z134" s="17"/>
      <x:c r="AA134" s="17"/>
      <x:c r="AB134" s="17"/>
      <x:c r="AC134" s="17"/>
      <x:c r="AD134" s="17"/>
      <x:c r="AE134" s="17"/>
      <x:c r="AF134" s="17"/>
      <x:c r="AG134" s="17"/>
    </x:row>
    <x:row r="135" spans="1:33" hidden="1">
      <x:c r="A135" t="s">
        <x:v>287</x:v>
      </x:c>
      <x:c r="B135" t="s">
        <x:v>270</x:v>
      </x:c>
      <x:c r="C135">
        <x:v>3</x:v>
      </x:c>
      <x:c r="G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</x:row>
    <x:row r="136" spans="1:33" hidden="1">
      <x:c r="A136" t="s">
        <x:v>137</x:v>
      </x:c>
      <x:c r="B136" t="s">
        <x:v>270</x:v>
      </x:c>
      <x:c r="C136">
        <x:v>3</x:v>
      </x:c>
      <x:c r="G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</x:row>
    <x:row r="137" spans="1:33" hidden="1">
      <x:c r="A137" t="s">
        <x:v>168</x:v>
      </x:c>
      <x:c r="B137" t="s">
        <x:v>179</x:v>
      </x:c>
      <x:c r="C137">
        <x:v>3</x:v>
      </x:c>
      <x:c r="G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</x:row>
    <x:row r="138" spans="1:33" s="1" customFormat="1">
      <x:c r="A138" s="1" t="s">
        <x:v>96</x:v>
      </x:c>
      <x:c r="B138" s="1" t="s">
        <x:v>204</x:v>
      </x:c>
      <x:c r="C138" s="1">
        <x:v>3</x:v>
      </x:c>
      <x:c r="D138" s="1" t="s">
        <x:v>14</x:v>
      </x:c>
      <x:c r="E138" s="1">
        <x:f t="shared" ref="E138:E139" si="14">(C138/315)</x:f>
        <x:v>0.0095238095238095247</x:v>
      </x:c>
      <x:c r="F138" s="1">
        <x:f t="shared" ref="F138:F139" si="15">E138*915</x:f>
        <x:v>8.7142857142857153</x:v>
      </x:c>
      <x:c r="G138" s="5">
        <x:f>7-F138</x:f>
        <x:v>-1.7142857142857153</x:v>
      </x:c>
      <x:c r="H138" s="1">
        <x:f t="shared" ref="H138:H139" si="16">E138*315</x:f>
        <x:v>3.0000000000000004</x:v>
      </x:c>
      <x:c r="I138" s="9">
        <x:v>0</x:v>
      </x:c>
      <x:c r="J138" s="14"/>
      <x:c r="K138" s="17"/>
      <x:c r="L138" s="17"/>
      <x:c r="M138" s="17"/>
      <x:c r="N138" s="17"/>
      <x:c r="O138" s="17"/>
      <x:c r="P138" s="17"/>
      <x:c r="Q138" s="17"/>
      <x:c r="R138" s="17"/>
      <x:c r="S138" s="17"/>
      <x:c r="T138" s="17"/>
      <x:c r="U138" s="17"/>
      <x:c r="V138" s="17"/>
      <x:c r="W138" s="17"/>
      <x:c r="X138" s="17"/>
      <x:c r="Y138" s="17"/>
      <x:c r="Z138" s="17"/>
      <x:c r="AA138" s="17"/>
      <x:c r="AB138" s="17"/>
      <x:c r="AC138" s="17"/>
      <x:c r="AD138" s="17"/>
      <x:c r="AE138" s="17"/>
      <x:c r="AF138" s="17"/>
      <x:c r="AG138" s="17"/>
    </x:row>
    <x:row r="139" spans="1:33" s="1" customFormat="1">
      <x:c r="A139" s="1" t="s">
        <x:v>350</x:v>
      </x:c>
      <x:c r="B139" s="1" t="s">
        <x:v>204</x:v>
      </x:c>
      <x:c r="C139" s="1">
        <x:v>3</x:v>
      </x:c>
      <x:c r="D139" s="1" t="s">
        <x:v>14</x:v>
      </x:c>
      <x:c r="E139" s="1">
        <x:f t="shared" si="14"/>
        <x:v>0.0095238095238095247</x:v>
      </x:c>
      <x:c r="F139" s="1">
        <x:f t="shared" si="15"/>
        <x:v>8.7142857142857153</x:v>
      </x:c>
      <x:c r="G139" s="5">
        <x:f>1-F139</x:f>
        <x:v>-7.7142857142857153</x:v>
      </x:c>
      <x:c r="H139" s="1">
        <x:f t="shared" si="16"/>
        <x:v>3.0000000000000004</x:v>
      </x:c>
      <x:c r="I139" s="9">
        <x:f>2-H139</x:f>
        <x:v>-1.0000000000000004</x:v>
      </x:c>
      <x:c r="J139" s="14"/>
      <x:c r="K139" s="17"/>
      <x:c r="L139" s="17"/>
      <x:c r="M139" s="17"/>
      <x:c r="N139" s="17"/>
      <x:c r="O139" s="17"/>
      <x:c r="P139" s="17"/>
      <x:c r="Q139" s="17"/>
      <x:c r="R139" s="17"/>
      <x:c r="S139" s="17"/>
      <x:c r="T139" s="17"/>
      <x:c r="U139" s="17"/>
      <x:c r="V139" s="17"/>
      <x:c r="W139" s="17"/>
      <x:c r="X139" s="17"/>
      <x:c r="Y139" s="17"/>
      <x:c r="Z139" s="17"/>
      <x:c r="AA139" s="17"/>
      <x:c r="AB139" s="17"/>
      <x:c r="AC139" s="17"/>
      <x:c r="AD139" s="17"/>
      <x:c r="AE139" s="17"/>
      <x:c r="AF139" s="17"/>
      <x:c r="AG139" s="17"/>
    </x:row>
    <x:row r="140" spans="1:33" hidden="1">
      <x:c r="A140" t="s">
        <x:v>69</x:v>
      </x:c>
      <x:c r="B140" t="s">
        <x:v>187</x:v>
      </x:c>
      <x:c r="C140">
        <x:v>3</x:v>
      </x:c>
      <x:c r="G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</x:row>
    <x:row r="141" spans="1:33" s="1" customFormat="1">
      <x:c r="A141" s="1" t="s">
        <x:v>74</x:v>
      </x:c>
      <x:c r="B141" s="1" t="s">
        <x:v>204</x:v>
      </x:c>
      <x:c r="C141" s="1">
        <x:v>3</x:v>
      </x:c>
      <x:c r="D141" s="1" t="s">
        <x:v>14</x:v>
      </x:c>
      <x:c r="E141" s="1">
        <x:f>(C141/315)</x:f>
        <x:v>0.0095238095238095247</x:v>
      </x:c>
      <x:c r="F141" s="1">
        <x:f>E141*915</x:f>
        <x:v>8.7142857142857153</x:v>
      </x:c>
      <x:c r="G141" s="5">
        <x:f>4-F141</x:f>
        <x:v>-4.7142857142857153</x:v>
      </x:c>
      <x:c r="H141" s="1">
        <x:f>E141*315</x:f>
        <x:v>3.0000000000000004</x:v>
      </x:c>
      <x:c r="I141" s="9">
        <x:f>2-H141</x:f>
        <x:v>-1.0000000000000004</x:v>
      </x:c>
      <x:c r="J141" s="14"/>
      <x:c r="K141" s="17"/>
      <x:c r="L141" s="17"/>
      <x:c r="M141" s="17"/>
      <x:c r="N141" s="17"/>
      <x:c r="O141" s="17"/>
      <x:c r="P141" s="17"/>
      <x:c r="Q141" s="17"/>
      <x:c r="R141" s="17"/>
      <x:c r="S141" s="17"/>
      <x:c r="T141" s="17"/>
      <x:c r="U141" s="17"/>
      <x:c r="V141" s="17"/>
      <x:c r="W141" s="17"/>
      <x:c r="X141" s="17"/>
      <x:c r="Y141" s="17"/>
      <x:c r="Z141" s="17"/>
      <x:c r="AA141" s="17"/>
      <x:c r="AB141" s="17"/>
      <x:c r="AC141" s="17"/>
      <x:c r="AD141" s="17"/>
      <x:c r="AE141" s="17"/>
      <x:c r="AF141" s="17"/>
      <x:c r="AG141" s="17"/>
    </x:row>
    <x:row r="142" spans="1:33" hidden="1">
      <x:c r="A142" t="s">
        <x:v>69</x:v>
      </x:c>
      <x:c r="B142" t="s">
        <x:v>201</x:v>
      </x:c>
      <x:c r="C142">
        <x:v>3</x:v>
      </x:c>
      <x:c r="G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</x:row>
    <x:row r="143" spans="1:33" hidden="1">
      <x:c r="A143" t="s">
        <x:v>85</x:v>
      </x:c>
      <x:c r="B143" t="s">
        <x:v>151</x:v>
      </x:c>
      <x:c r="C143">
        <x:v>3</x:v>
      </x:c>
      <x:c r="G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</x:row>
    <x:row r="144" spans="1:33" hidden="1">
      <x:c r="A144" t="s">
        <x:v>166</x:v>
      </x:c>
      <x:c r="B144" t="s">
        <x:v>160</x:v>
      </x:c>
      <x:c r="C144">
        <x:v>3</x:v>
      </x:c>
      <x:c r="G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</x:row>
    <x:row r="145" spans="1:10">
      <x:c r="A145" t="s">
        <x:v>290</x:v>
      </x:c>
      <x:c r="B145" t="s">
        <x:v>248</x:v>
      </x:c>
      <x:c r="C145">
        <x:v>3</x:v>
      </x:c>
      <x:c r="D145" t="s">
        <x:v>14</x:v>
      </x:c>
      <x:c r="E145">
        <x:f>C145/315</x:f>
        <x:v>0.0095238095238095247</x:v>
      </x:c>
      <x:c r="F145" s="1">
        <x:f>E145*915</x:f>
        <x:v>8.7142857142857153</x:v>
      </x:c>
      <x:c r="G145">
        <x:f>1-F145</x:f>
        <x:v>-7.7142857142857153</x:v>
      </x:c>
      <x:c r="H145" s="1">
        <x:f>E145*315</x:f>
        <x:v>3.0000000000000004</x:v>
      </x:c>
      <x:c r="I145">
        <x:f>2-H145</x:f>
        <x:v>-1.0000000000000004</x:v>
      </x:c>
      <x:c r="J145"/>
    </x:row>
    <x:row r="146" spans="1:33" hidden="1">
      <x:c r="A146" t="s">
        <x:v>289</x:v>
      </x:c>
      <x:c r="B146" t="s">
        <x:v>160</x:v>
      </x:c>
      <x:c r="C146">
        <x:v>3</x:v>
      </x:c>
      <x:c r="G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</x:row>
    <x:row r="147" spans="1:33" hidden="1">
      <x:c r="A147" t="s">
        <x:v>152</x:v>
      </x:c>
      <x:c r="B147" t="s">
        <x:v>225</x:v>
      </x:c>
      <x:c r="C147">
        <x:v>3</x:v>
      </x:c>
      <x:c r="G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</x:row>
    <x:row r="148" spans="1:33" s="3" customFormat="1">
      <x:c r="A148" s="3" t="s">
        <x:v>253</x:v>
      </x:c>
      <x:c r="B148" s="3" t="s">
        <x:v>248</x:v>
      </x:c>
      <x:c r="C148" s="3">
        <x:v>3</x:v>
      </x:c>
      <x:c r="D148" s="3" t="s">
        <x:v>309</x:v>
      </x:c>
      <x:c r="E148" s="3">
        <x:f>C148/315</x:f>
        <x:v>0.0095238095238095247</x:v>
      </x:c>
      <x:c r="F148" s="3">
        <x:f>E148*915</x:f>
        <x:v>8.7142857142857153</x:v>
      </x:c>
      <x:c r="G148" s="3">
        <x:f>19-F148</x:f>
        <x:v>10.285714285714285</x:v>
      </x:c>
      <x:c r="H148" s="3">
        <x:f>E148*315</x:f>
        <x:v>3.0000000000000004</x:v>
      </x:c>
      <x:c r="I148" s="3">
        <x:f>2-H148</x:f>
        <x:v>-1.0000000000000004</x:v>
      </x:c>
      <x:c r="K148" s="17"/>
      <x:c r="L148" s="17"/>
      <x:c r="M148" s="17"/>
      <x:c r="N148" s="17"/>
      <x:c r="O148" s="17"/>
      <x:c r="P148" s="17"/>
      <x:c r="Q148" s="17"/>
      <x:c r="R148" s="17"/>
      <x:c r="S148" s="17"/>
      <x:c r="T148" s="17"/>
      <x:c r="U148" s="17"/>
      <x:c r="V148" s="17"/>
      <x:c r="W148" s="17"/>
      <x:c r="X148" s="17"/>
      <x:c r="Y148" s="17"/>
      <x:c r="Z148" s="17"/>
      <x:c r="AA148" s="17"/>
      <x:c r="AB148" s="17"/>
      <x:c r="AC148" s="17"/>
      <x:c r="AD148" s="17"/>
      <x:c r="AE148" s="17"/>
      <x:c r="AF148" s="17"/>
      <x:c r="AG148" s="17"/>
    </x:row>
    <x:row r="149" spans="1:33" hidden="1">
      <x:c r="A149" t="s">
        <x:v>148</x:v>
      </x:c>
      <x:c r="B149" t="s">
        <x:v>217</x:v>
      </x:c>
      <x:c r="C149">
        <x:v>3</x:v>
      </x:c>
      <x:c r="G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</x:row>
    <x:row r="150" spans="1:33" s="2" customFormat="1">
      <x:c r="A150" s="2" t="s">
        <x:v>28</x:v>
      </x:c>
      <x:c r="B150" s="2" t="s">
        <x:v>204</x:v>
      </x:c>
      <x:c r="C150" s="2">
        <x:v>3</x:v>
      </x:c>
      <x:c r="D150" s="2" t="s">
        <x:v>18</x:v>
      </x:c>
      <x:c r="E150" s="2">
        <x:f>(C150/315)</x:f>
        <x:v>0.0095238095238095247</x:v>
      </x:c>
      <x:c r="F150" s="1">
        <x:f>E150*915</x:f>
        <x:v>8.7142857142857153</x:v>
      </x:c>
      <x:c r="G150" s="6">
        <x:f>2-F150</x:f>
        <x:v>-6.7142857142857153</x:v>
      </x:c>
      <x:c r="H150" s="1">
        <x:f>E150*315</x:f>
        <x:v>3.0000000000000004</x:v>
      </x:c>
      <x:c r="I150" s="10">
        <x:f>2-H150</x:f>
        <x:v>-1.0000000000000004</x:v>
      </x:c>
      <x:c r="J150" s="15"/>
      <x:c r="K150" s="17"/>
      <x:c r="L150" s="17"/>
      <x:c r="M150" s="17"/>
      <x:c r="N150" s="17"/>
      <x:c r="O150" s="17"/>
      <x:c r="P150" s="17"/>
      <x:c r="Q150" s="17"/>
      <x:c r="R150" s="17"/>
      <x:c r="S150" s="17"/>
      <x:c r="T150" s="17"/>
      <x:c r="U150" s="17"/>
      <x:c r="V150" s="17"/>
      <x:c r="W150" s="17"/>
      <x:c r="X150" s="17"/>
      <x:c r="Y150" s="17"/>
      <x:c r="Z150" s="17"/>
      <x:c r="AA150" s="17"/>
      <x:c r="AB150" s="17"/>
      <x:c r="AC150" s="17"/>
      <x:c r="AD150" s="17"/>
      <x:c r="AE150" s="17"/>
      <x:c r="AF150" s="17"/>
      <x:c r="AG150" s="17"/>
    </x:row>
    <x:row r="151" spans="1:33" hidden="1">
      <x:c r="A151" t="s">
        <x:v>186</x:v>
      </x:c>
      <x:c r="B151" t="s">
        <x:v>252</x:v>
      </x:c>
      <x:c r="C151">
        <x:v>3</x:v>
      </x:c>
      <x:c r="G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</x:row>
    <x:row r="152" spans="1:33" hidden="1">
      <x:c r="A152" t="s">
        <x:v>19</x:v>
      </x:c>
      <x:c r="B152" t="s">
        <x:v>252</x:v>
      </x:c>
      <x:c r="C152">
        <x:v>3</x:v>
      </x:c>
      <x:c r="G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</x:row>
    <x:row r="153" spans="1:33" hidden="1">
      <x:c r="A153" t="s">
        <x:v>49</x:v>
      </x:c>
      <x:c r="B153" t="s">
        <x:v>215</x:v>
      </x:c>
      <x:c r="C153">
        <x:v>3</x:v>
      </x:c>
      <x:c r="G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</x:row>
    <x:row r="154" spans="1:33" s="3" customFormat="1">
      <x:c r="A154" s="3" t="s">
        <x:v>146</x:v>
      </x:c>
      <x:c r="B154" s="3" t="s">
        <x:v>248</x:v>
      </x:c>
      <x:c r="C154" s="3">
        <x:v>3</x:v>
      </x:c>
      <x:c r="D154" s="3" t="s">
        <x:v>309</x:v>
      </x:c>
      <x:c r="E154" s="3">
        <x:f t="shared" ref="E154:E155" si="17">C154/315</x:f>
        <x:v>0.0095238095238095247</x:v>
      </x:c>
      <x:c r="F154" s="3">
        <x:f t="shared" ref="F154:F155" si="18">E154*915</x:f>
        <x:v>8.7142857142857153</x:v>
      </x:c>
      <x:c r="G154" s="3">
        <x:f>4-F154</x:f>
        <x:v>-4.7142857142857153</x:v>
      </x:c>
      <x:c r="H154" s="3">
        <x:f t="shared" ref="H154:H155" si="19">E154*315</x:f>
        <x:v>3.0000000000000004</x:v>
      </x:c>
      <x:c r="I154" s="3">
        <x:v>0</x:v>
      </x:c>
      <x:c r="K154" s="17"/>
      <x:c r="L154" s="17"/>
      <x:c r="M154" s="17"/>
      <x:c r="N154" s="17"/>
      <x:c r="O154" s="17"/>
      <x:c r="P154" s="17"/>
      <x:c r="Q154" s="17"/>
      <x:c r="R154" s="17"/>
      <x:c r="S154" s="17"/>
      <x:c r="T154" s="17"/>
      <x:c r="U154" s="17"/>
      <x:c r="V154" s="17"/>
      <x:c r="W154" s="17"/>
      <x:c r="X154" s="17"/>
      <x:c r="Y154" s="17"/>
      <x:c r="Z154" s="17"/>
      <x:c r="AA154" s="17"/>
      <x:c r="AB154" s="17"/>
      <x:c r="AC154" s="17"/>
      <x:c r="AD154" s="17"/>
      <x:c r="AE154" s="17"/>
      <x:c r="AF154" s="17"/>
      <x:c r="AG154" s="17"/>
    </x:row>
    <x:row r="155" spans="1:10">
      <x:c r="A155" t="s">
        <x:v>71</x:v>
      </x:c>
      <x:c r="B155" t="s">
        <x:v>248</x:v>
      </x:c>
      <x:c r="C155">
        <x:v>3</x:v>
      </x:c>
      <x:c r="D155" t="s">
        <x:v>14</x:v>
      </x:c>
      <x:c r="E155">
        <x:f t="shared" si="17"/>
        <x:v>0.0095238095238095247</x:v>
      </x:c>
      <x:c r="F155" s="1">
        <x:f t="shared" si="18"/>
        <x:v>8.7142857142857153</x:v>
      </x:c>
      <x:c r="G155">
        <x:f>4-F155</x:f>
        <x:v>-4.7142857142857153</x:v>
      </x:c>
      <x:c r="H155" s="1">
        <x:f t="shared" si="19"/>
        <x:v>3.0000000000000004</x:v>
      </x:c>
      <x:c r="I155">
        <x:f>5-H155</x:f>
        <x:v>1.9999999999999996</x:v>
      </x:c>
      <x:c r="J155"/>
    </x:row>
    <x:row r="156" spans="1:33" hidden="1">
      <x:c r="A156" t="s">
        <x:v>138</x:v>
      </x:c>
      <x:c r="B156" t="s">
        <x:v>197</x:v>
      </x:c>
      <x:c r="C156">
        <x:v>2</x:v>
      </x:c>
      <x:c r="G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</x:row>
    <x:row r="157" spans="1:33" hidden="1">
      <x:c r="A157" t="s">
        <x:v>327</x:v>
      </x:c>
      <x:c r="B157" t="s">
        <x:v>197</x:v>
      </x:c>
      <x:c r="C157">
        <x:v>2</x:v>
      </x:c>
      <x:c r="G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</x:row>
    <x:row r="158" spans="1:33" hidden="1">
      <x:c r="A158" t="s">
        <x:v>104</x:v>
      </x:c>
      <x:c r="B158" t="s">
        <x:v>201</x:v>
      </x:c>
      <x:c r="C158">
        <x:v>2</x:v>
      </x:c>
      <x:c r="G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</x:row>
    <x:row r="159" spans="1:33" hidden="1">
      <x:c r="A159" t="s">
        <x:v>134</x:v>
      </x:c>
      <x:c r="B159" t="s">
        <x:v>197</x:v>
      </x:c>
      <x:c r="C159">
        <x:v>2</x:v>
      </x:c>
      <x:c r="G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</x:row>
    <x:row r="160" spans="1:33" hidden="1">
      <x:c r="A160" t="s">
        <x:v>285</x:v>
      </x:c>
      <x:c r="B160" t="s">
        <x:v>151</x:v>
      </x:c>
      <x:c r="C160">
        <x:v>2</x:v>
      </x:c>
      <x:c r="G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</x:row>
    <x:row r="161" spans="1:33" s="3" customFormat="1">
      <x:c r="A161" s="3" t="s">
        <x:v>347</x:v>
      </x:c>
      <x:c r="B161" s="3" t="s">
        <x:v>204</x:v>
      </x:c>
      <x:c r="C161" s="3">
        <x:v>2</x:v>
      </x:c>
      <x:c r="D161" s="3" t="s">
        <x:v>309</x:v>
      </x:c>
      <x:c r="E161" s="3">
        <x:f>(C161/315)</x:f>
        <x:v>0.0063492063492063492</x:v>
      </x:c>
      <x:c r="F161" s="1">
        <x:f t="shared" ref="F161:F162" si="20">E161*915</x:f>
        <x:v>5.8095238095238093</x:v>
      </x:c>
      <x:c r="G161" s="7">
        <x:f>0-F161</x:f>
        <x:v>-5.8095238095238093</x:v>
      </x:c>
      <x:c r="H161" s="1">
        <x:f t="shared" ref="H161:H162" si="21">E161*315</x:f>
        <x:v>2</x:v>
      </x:c>
      <x:c r="I161" s="11">
        <x:f>0-H161</x:f>
        <x:v>-2</x:v>
      </x:c>
      <x:c r="J161" s="16"/>
      <x:c r="K161" s="17"/>
      <x:c r="L161" s="17"/>
      <x:c r="M161" s="17"/>
      <x:c r="N161" s="17"/>
      <x:c r="O161" s="17"/>
      <x:c r="P161" s="17"/>
      <x:c r="Q161" s="17"/>
      <x:c r="R161" s="17"/>
      <x:c r="S161" s="17"/>
      <x:c r="T161" s="17"/>
      <x:c r="U161" s="17"/>
      <x:c r="V161" s="17"/>
      <x:c r="W161" s="17"/>
      <x:c r="X161" s="17"/>
      <x:c r="Y161" s="17"/>
      <x:c r="Z161" s="17"/>
      <x:c r="AA161" s="17"/>
      <x:c r="AB161" s="17"/>
      <x:c r="AC161" s="17"/>
      <x:c r="AD161" s="17"/>
      <x:c r="AE161" s="17"/>
      <x:c r="AF161" s="17"/>
      <x:c r="AG161" s="17"/>
    </x:row>
    <x:row r="162" spans="1:33" s="2" customFormat="1">
      <x:c r="A162" s="2" t="s">
        <x:v>365</x:v>
      </x:c>
      <x:c r="B162" s="2" t="s">
        <x:v>248</x:v>
      </x:c>
      <x:c r="C162" s="2">
        <x:v>2</x:v>
      </x:c>
      <x:c r="D162" s="2" t="s">
        <x:v>18</x:v>
      </x:c>
      <x:c r="E162" s="2">
        <x:f>C162/315</x:f>
        <x:v>0.0063492063492063492</x:v>
      </x:c>
      <x:c r="F162" s="2">
        <x:f t="shared" si="20"/>
        <x:v>5.8095238095238093</x:v>
      </x:c>
      <x:c r="G162" s="2">
        <x:f>0-F162</x:f>
        <x:v>-5.8095238095238093</x:v>
      </x:c>
      <x:c r="H162" s="2">
        <x:f t="shared" si="21"/>
        <x:v>2</x:v>
      </x:c>
      <x:c r="I162" s="2">
        <x:f>0-H162</x:f>
        <x:v>-2</x:v>
      </x:c>
      <x:c r="K162" s="17"/>
      <x:c r="L162" s="17"/>
      <x:c r="M162" s="17"/>
      <x:c r="N162" s="17"/>
      <x:c r="O162" s="17"/>
      <x:c r="P162" s="17"/>
      <x:c r="Q162" s="17"/>
      <x:c r="R162" s="17"/>
      <x:c r="S162" s="17"/>
      <x:c r="T162" s="17"/>
      <x:c r="U162" s="17"/>
      <x:c r="V162" s="17"/>
      <x:c r="W162" s="17"/>
      <x:c r="X162" s="17"/>
      <x:c r="Y162" s="17"/>
      <x:c r="Z162" s="17"/>
      <x:c r="AA162" s="17"/>
      <x:c r="AB162" s="17"/>
      <x:c r="AC162" s="17"/>
      <x:c r="AD162" s="17"/>
      <x:c r="AE162" s="17"/>
      <x:c r="AF162" s="17"/>
      <x:c r="AG162" s="17"/>
    </x:row>
    <x:row r="163" spans="1:33" hidden="1">
      <x:c r="A163" t="s">
        <x:v>156</x:v>
      </x:c>
      <x:c r="B163" t="s">
        <x:v>266</x:v>
      </x:c>
      <x:c r="C163">
        <x:v>2</x:v>
      </x:c>
      <x:c r="G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</x:row>
    <x:row r="164" spans="1:33" hidden="1">
      <x:c r="A164" t="s">
        <x:v>61</x:v>
      </x:c>
      <x:c r="B164" t="s">
        <x:v>241</x:v>
      </x:c>
      <x:c r="C164">
        <x:v>2</x:v>
      </x:c>
      <x:c r="G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</x:row>
    <x:row r="165" spans="1:33" hidden="1">
      <x:c r="A165" t="s">
        <x:v>273</x:v>
      </x:c>
      <x:c r="B165" t="s">
        <x:v>225</x:v>
      </x:c>
      <x:c r="C165">
        <x:v>2</x:v>
      </x:c>
      <x:c r="G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</x:row>
    <x:row r="166" spans="1:33" hidden="1">
      <x:c r="A166" t="s">
        <x:v>104</x:v>
      </x:c>
      <x:c r="B166" t="s">
        <x:v>277</x:v>
      </x:c>
      <x:c r="C166">
        <x:v>2</x:v>
      </x:c>
      <x:c r="G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</x:row>
    <x:row r="167" spans="1:33" hidden="1">
      <x:c r="A167" t="s">
        <x:v>47</x:v>
      </x:c>
      <x:c r="B167" t="s">
        <x:v>160</x:v>
      </x:c>
      <x:c r="C167">
        <x:v>2</x:v>
      </x:c>
      <x:c r="G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</x:row>
    <x:row r="168" spans="1:33" hidden="1">
      <x:c r="A168" t="s">
        <x:v>208</x:v>
      </x:c>
      <x:c r="B168" t="s">
        <x:v>206</x:v>
      </x:c>
      <x:c r="C168">
        <x:v>2</x:v>
      </x:c>
      <x:c r="G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</x:row>
    <x:row r="169" spans="1:33" hidden="1">
      <x:c r="A169" t="s">
        <x:v>280</x:v>
      </x:c>
      <x:c r="B169" t="s">
        <x:v>225</x:v>
      </x:c>
      <x:c r="C169">
        <x:v>2</x:v>
      </x:c>
      <x:c r="G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</x:row>
    <x:row r="170" spans="1:33" hidden="1">
      <x:c r="A170" t="s">
        <x:v>110</x:v>
      </x:c>
      <x:c r="B170" t="s">
        <x:v>197</x:v>
      </x:c>
      <x:c r="C170">
        <x:v>2</x:v>
      </x:c>
      <x:c r="G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</x:row>
    <x:row r="171" spans="1:33" hidden="1">
      <x:c r="A171">
        <x:v>10</x:v>
      </x:c>
      <x:c r="B171" t="s">
        <x:v>241</x:v>
      </x:c>
      <x:c r="C171">
        <x:v>2</x:v>
      </x:c>
      <x:c r="G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</x:row>
    <x:row r="172" spans="1:33" hidden="1">
      <x:c r="A172" t="s">
        <x:v>59</x:v>
      </x:c>
      <x:c r="B172" t="s">
        <x:v>266</x:v>
      </x:c>
      <x:c r="C172">
        <x:v>2</x:v>
      </x:c>
      <x:c r="G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</x:row>
    <x:row r="173" spans="1:33" hidden="1">
      <x:c r="A173" t="s">
        <x:v>81</x:v>
      </x:c>
      <x:c r="B173" t="s">
        <x:v>160</x:v>
      </x:c>
      <x:c r="C173">
        <x:v>2</x:v>
      </x:c>
      <x:c r="G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</x:row>
    <x:row r="174" spans="1:33" hidden="1">
      <x:c r="A174" t="s">
        <x:v>193</x:v>
      </x:c>
      <x:c r="B174" t="s">
        <x:v>241</x:v>
      </x:c>
      <x:c r="C174">
        <x:v>2</x:v>
      </x:c>
      <x:c r="G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</x:row>
    <x:row r="175" spans="1:33" hidden="1">
      <x:c r="A175" t="s">
        <x:v>33</x:v>
      </x:c>
      <x:c r="B175" t="s">
        <x:v>225</x:v>
      </x:c>
      <x:c r="C175">
        <x:v>2</x:v>
      </x:c>
      <x:c r="G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</x:row>
    <x:row r="176" spans="1:33" hidden="1">
      <x:c r="A176" t="s">
        <x:v>198</x:v>
      </x:c>
      <x:c r="B176" t="s">
        <x:v>10</x:v>
      </x:c>
      <x:c r="C176">
        <x:v>2</x:v>
      </x:c>
      <x:c r="G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</x:row>
    <x:row r="177" spans="1:33" hidden="1">
      <x:c r="A177" t="s">
        <x:v>230</x:v>
      </x:c>
      <x:c r="B177" t="s">
        <x:v>187</x:v>
      </x:c>
      <x:c r="C177">
        <x:v>2</x:v>
      </x:c>
      <x:c r="G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</x:row>
    <x:row r="178" spans="1:33" hidden="1">
      <x:c r="A178" t="s">
        <x:v>322</x:v>
      </x:c>
      <x:c r="B178" t="s">
        <x:v>266</x:v>
      </x:c>
      <x:c r="C178">
        <x:v>2</x:v>
      </x:c>
      <x:c r="G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</x:row>
    <x:row r="179" spans="1:33" hidden="1">
      <x:c r="A179" t="s">
        <x:v>30</x:v>
      </x:c>
      <x:c r="B179" t="s">
        <x:v>201</x:v>
      </x:c>
      <x:c r="C179">
        <x:v>2</x:v>
      </x:c>
      <x:c r="G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</x:row>
    <x:row r="180" spans="1:33" hidden="1">
      <x:c r="A180" t="s">
        <x:v>37</x:v>
      </x:c>
      <x:c r="B180" t="s">
        <x:v>215</x:v>
      </x:c>
      <x:c r="C180">
        <x:v>2</x:v>
      </x:c>
      <x:c r="G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</x:row>
    <x:row r="181" spans="1:33" hidden="1">
      <x:c r="A181" t="s">
        <x:v>333</x:v>
      </x:c>
      <x:c r="B181" t="s">
        <x:v>160</x:v>
      </x:c>
      <x:c r="C181">
        <x:v>2</x:v>
      </x:c>
      <x:c r="G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</x:row>
    <x:row r="182" spans="1:33" hidden="1">
      <x:c r="A182" t="s">
        <x:v>303</x:v>
      </x:c>
      <x:c r="B182" t="s">
        <x:v>215</x:v>
      </x:c>
      <x:c r="C182">
        <x:v>2</x:v>
      </x:c>
      <x:c r="G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</x:row>
    <x:row r="183" spans="1:33" hidden="1">
      <x:c r="A183" t="s">
        <x:v>98</x:v>
      </x:c>
      <x:c r="B183" t="s">
        <x:v>266</x:v>
      </x:c>
      <x:c r="C183">
        <x:v>2</x:v>
      </x:c>
      <x:c r="G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</x:row>
    <x:row r="184" spans="1:33" hidden="1">
      <x:c r="A184" t="s">
        <x:v>117</x:v>
      </x:c>
      <x:c r="B184" t="s">
        <x:v>215</x:v>
      </x:c>
      <x:c r="C184">
        <x:v>2</x:v>
      </x:c>
      <x:c r="G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</x:row>
    <x:row r="185" spans="1:33" hidden="1">
      <x:c r="A185" t="s">
        <x:v>338</x:v>
      </x:c>
      <x:c r="B185" t="s">
        <x:v>187</x:v>
      </x:c>
      <x:c r="C185">
        <x:v>2</x:v>
      </x:c>
      <x:c r="G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</x:row>
    <x:row r="186" spans="1:33" s="2" customFormat="1">
      <x:c r="A186" s="2" t="s">
        <x:v>75</x:v>
      </x:c>
      <x:c r="B186" s="2" t="s">
        <x:v>204</x:v>
      </x:c>
      <x:c r="C186" s="2">
        <x:v>2</x:v>
      </x:c>
      <x:c r="D186" s="2" t="s">
        <x:v>18</x:v>
      </x:c>
      <x:c r="E186" s="2">
        <x:f>(C186/315)</x:f>
        <x:v>0.0063492063492063492</x:v>
      </x:c>
      <x:c r="F186" s="1">
        <x:f>E186*915</x:f>
        <x:v>5.8095238095238093</x:v>
      </x:c>
      <x:c r="G186" s="6">
        <x:f>11-F186</x:f>
        <x:v>5.1904761904761907</x:v>
      </x:c>
      <x:c r="H186" s="1">
        <x:f>E186*315</x:f>
        <x:v>2</x:v>
      </x:c>
      <x:c r="I186" s="10">
        <x:f>6-H186</x:f>
        <x:v>4</x:v>
      </x:c>
      <x:c r="J186" s="15"/>
      <x:c r="K186" s="17"/>
      <x:c r="L186" s="17"/>
      <x:c r="M186" s="17"/>
      <x:c r="N186" s="17"/>
      <x:c r="O186" s="17"/>
      <x:c r="P186" s="17"/>
      <x:c r="Q186" s="17"/>
      <x:c r="R186" s="17"/>
      <x:c r="S186" s="17"/>
      <x:c r="T186" s="17"/>
      <x:c r="U186" s="17"/>
      <x:c r="V186" s="17"/>
      <x:c r="W186" s="17"/>
      <x:c r="X186" s="17"/>
      <x:c r="Y186" s="17"/>
      <x:c r="Z186" s="17"/>
      <x:c r="AA186" s="17"/>
      <x:c r="AB186" s="17"/>
      <x:c r="AC186" s="17"/>
      <x:c r="AD186" s="17"/>
      <x:c r="AE186" s="17"/>
      <x:c r="AF186" s="17"/>
      <x:c r="AG186" s="17"/>
    </x:row>
    <x:row r="187" spans="1:33" hidden="1">
      <x:c r="A187" t="s">
        <x:v>68</x:v>
      </x:c>
      <x:c r="B187" t="s">
        <x:v>197</x:v>
      </x:c>
      <x:c r="C187">
        <x:v>2</x:v>
      </x:c>
      <x:c r="G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</x:row>
    <x:row r="188" spans="1:33" s="3" customFormat="1">
      <x:c r="A188" s="3" t="s">
        <x:v>90</x:v>
      </x:c>
      <x:c r="B188" s="3" t="s">
        <x:v>248</x:v>
      </x:c>
      <x:c r="C188" s="3">
        <x:v>2</x:v>
      </x:c>
      <x:c r="D188" s="3" t="s">
        <x:v>309</x:v>
      </x:c>
      <x:c r="E188" s="3">
        <x:f>C188/315</x:f>
        <x:v>0.0063492063492063492</x:v>
      </x:c>
      <x:c r="F188" s="3">
        <x:f>E188*915</x:f>
        <x:v>5.8095238095238093</x:v>
      </x:c>
      <x:c r="G188" s="3">
        <x:f>9-F188</x:f>
        <x:v>3.1904761904761907</x:v>
      </x:c>
      <x:c r="H188" s="3">
        <x:f>E188*315</x:f>
        <x:v>2</x:v>
      </x:c>
      <x:c r="I188" s="3">
        <x:f>2-2</x:f>
        <x:v>0</x:v>
      </x:c>
      <x:c r="K188" s="17"/>
      <x:c r="L188" s="17"/>
      <x:c r="M188" s="17"/>
      <x:c r="N188" s="17"/>
      <x:c r="O188" s="17"/>
      <x:c r="P188" s="17"/>
      <x:c r="Q188" s="17"/>
      <x:c r="R188" s="17"/>
      <x:c r="S188" s="17"/>
      <x:c r="T188" s="17"/>
      <x:c r="U188" s="17"/>
      <x:c r="V188" s="17"/>
      <x:c r="W188" s="17"/>
      <x:c r="X188" s="17"/>
      <x:c r="Y188" s="17"/>
      <x:c r="Z188" s="17"/>
      <x:c r="AA188" s="17"/>
      <x:c r="AB188" s="17"/>
      <x:c r="AC188" s="17"/>
      <x:c r="AD188" s="17"/>
      <x:c r="AE188" s="17"/>
      <x:c r="AF188" s="17"/>
      <x:c r="AG188" s="17"/>
    </x:row>
    <x:row r="189" spans="1:33" hidden="1">
      <x:c r="A189" t="s">
        <x:v>139</x:v>
      </x:c>
      <x:c r="B189" t="s">
        <x:v>187</x:v>
      </x:c>
      <x:c r="C189">
        <x:v>2</x:v>
      </x:c>
      <x:c r="G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</x:row>
    <x:row r="190" spans="1:33" hidden="1">
      <x:c r="A190" t="s">
        <x:v>180</x:v>
      </x:c>
      <x:c r="B190" t="s">
        <x:v>252</x:v>
      </x:c>
      <x:c r="C190">
        <x:v>2</x:v>
      </x:c>
      <x:c r="G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</x:row>
    <x:row r="191" spans="1:33" hidden="1">
      <x:c r="A191" t="s">
        <x:v>41</x:v>
      </x:c>
      <x:c r="B191" t="s">
        <x:v>266</x:v>
      </x:c>
      <x:c r="C191">
        <x:v>2</x:v>
      </x:c>
      <x:c r="G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</x:row>
    <x:row r="192" spans="1:33" hidden="1">
      <x:c r="A192" t="s">
        <x:v>182</x:v>
      </x:c>
      <x:c r="B192" t="s">
        <x:v>197</x:v>
      </x:c>
      <x:c r="C192">
        <x:v>2</x:v>
      </x:c>
      <x:c r="G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</x:row>
    <x:row r="193" spans="1:33" hidden="1">
      <x:c r="A193" t="s">
        <x:v>376</x:v>
      </x:c>
      <x:c r="B193" t="s">
        <x:v>266</x:v>
      </x:c>
      <x:c r="C193">
        <x:v>2</x:v>
      </x:c>
      <x:c r="G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</x:row>
    <x:row r="194" spans="1:33" s="3" customFormat="1">
      <x:c r="A194" s="3" t="s">
        <x:v>60</x:v>
      </x:c>
      <x:c r="B194" s="3" t="s">
        <x:v>248</x:v>
      </x:c>
      <x:c r="C194" s="3">
        <x:v>2</x:v>
      </x:c>
      <x:c r="D194" s="3" t="s">
        <x:v>309</x:v>
      </x:c>
      <x:c r="E194" s="3">
        <x:f t="shared" ref="E194:E195" si="22">C194/315</x:f>
        <x:v>0.0063492063492063492</x:v>
      </x:c>
      <x:c r="F194" s="3">
        <x:f t="shared" ref="F194:F195" si="23">E194*915</x:f>
        <x:v>5.8095238095238093</x:v>
      </x:c>
      <x:c r="G194" s="3">
        <x:f>11-F194</x:f>
        <x:v>5.1904761904761907</x:v>
      </x:c>
      <x:c r="H194" s="3">
        <x:f t="shared" ref="H194:H195" si="24">E194*315</x:f>
        <x:v>2</x:v>
      </x:c>
      <x:c r="I194" s="3">
        <x:v>0</x:v>
      </x:c>
      <x:c r="K194" s="17"/>
      <x:c r="L194" s="17"/>
      <x:c r="M194" s="17"/>
      <x:c r="N194" s="17"/>
      <x:c r="O194" s="17"/>
      <x:c r="P194" s="17"/>
      <x:c r="Q194" s="17"/>
      <x:c r="R194" s="17"/>
      <x:c r="S194" s="17"/>
      <x:c r="T194" s="17"/>
      <x:c r="U194" s="17"/>
      <x:c r="V194" s="17"/>
      <x:c r="W194" s="17"/>
      <x:c r="X194" s="17"/>
      <x:c r="Y194" s="17"/>
      <x:c r="Z194" s="17"/>
      <x:c r="AA194" s="17"/>
      <x:c r="AB194" s="17"/>
      <x:c r="AC194" s="17"/>
      <x:c r="AD194" s="17"/>
      <x:c r="AE194" s="17"/>
      <x:c r="AF194" s="17"/>
      <x:c r="AG194" s="17"/>
    </x:row>
    <x:row r="195" spans="1:33" s="2" customFormat="1">
      <x:c r="A195" s="2" t="s">
        <x:v>129</x:v>
      </x:c>
      <x:c r="B195" s="2" t="s">
        <x:v>248</x:v>
      </x:c>
      <x:c r="C195" s="2">
        <x:v>2</x:v>
      </x:c>
      <x:c r="D195" s="2" t="s">
        <x:v>18</x:v>
      </x:c>
      <x:c r="E195" s="2">
        <x:f t="shared" si="22"/>
        <x:v>0.0063492063492063492</x:v>
      </x:c>
      <x:c r="F195" s="2">
        <x:f t="shared" si="23"/>
        <x:v>5.8095238095238093</x:v>
      </x:c>
      <x:c r="G195" s="2">
        <x:f>5-F195</x:f>
        <x:v>-0.80952380952380931</x:v>
      </x:c>
      <x:c r="H195" s="2">
        <x:f t="shared" si="24"/>
        <x:v>2</x:v>
      </x:c>
      <x:c r="I195" s="2">
        <x:v>0</x:v>
      </x:c>
      <x:c r="K195" s="17"/>
      <x:c r="L195" s="17"/>
      <x:c r="M195" s="17"/>
      <x:c r="N195" s="17"/>
      <x:c r="O195" s="17"/>
      <x:c r="P195" s="17"/>
      <x:c r="Q195" s="17"/>
      <x:c r="R195" s="17"/>
      <x:c r="S195" s="17"/>
      <x:c r="T195" s="17"/>
      <x:c r="U195" s="17"/>
      <x:c r="V195" s="17"/>
      <x:c r="W195" s="17"/>
      <x:c r="X195" s="17"/>
      <x:c r="Y195" s="17"/>
      <x:c r="Z195" s="17"/>
      <x:c r="AA195" s="17"/>
      <x:c r="AB195" s="17"/>
      <x:c r="AC195" s="17"/>
      <x:c r="AD195" s="17"/>
      <x:c r="AE195" s="17"/>
      <x:c r="AF195" s="17"/>
      <x:c r="AG195" s="17"/>
    </x:row>
    <x:row r="196" spans="1:33" hidden="1">
      <x:c r="A196" t="s">
        <x:v>124</x:v>
      </x:c>
      <x:c r="B196" t="s">
        <x:v>201</x:v>
      </x:c>
      <x:c r="C196">
        <x:v>2</x:v>
      </x:c>
      <x:c r="G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</x:row>
    <x:row r="197" spans="1:33" hidden="1">
      <x:c r="A197" t="s">
        <x:v>91</x:v>
      </x:c>
      <x:c r="B197" t="s">
        <x:v>252</x:v>
      </x:c>
      <x:c r="C197">
        <x:v>2</x:v>
      </x:c>
      <x:c r="G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</x:row>
    <x:row r="198" spans="1:33" hidden="1">
      <x:c r="A198" t="s">
        <x:v>219</x:v>
      </x:c>
      <x:c r="B198" t="s">
        <x:v>278</x:v>
      </x:c>
      <x:c r="C198">
        <x:v>2</x:v>
      </x:c>
      <x:c r="G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</x:row>
    <x:row r="199" spans="1:33" s="2" customFormat="1">
      <x:c r="A199" s="2" t="s">
        <x:v>121</x:v>
      </x:c>
      <x:c r="B199" s="2" t="s">
        <x:v>248</x:v>
      </x:c>
      <x:c r="C199" s="2">
        <x:v>2</x:v>
      </x:c>
      <x:c r="D199" s="2" t="s">
        <x:v>18</x:v>
      </x:c>
      <x:c r="E199" s="2">
        <x:f>C199/315</x:f>
        <x:v>0.0063492063492063492</x:v>
      </x:c>
      <x:c r="F199" s="2">
        <x:f>E199*915</x:f>
        <x:v>5.8095238095238093</x:v>
      </x:c>
      <x:c r="G199" s="2">
        <x:f>5-F199</x:f>
        <x:v>-0.80952380952380931</x:v>
      </x:c>
      <x:c r="H199" s="2">
        <x:f>E199*315</x:f>
        <x:v>2</x:v>
      </x:c>
      <x:c r="I199" s="2">
        <x:v>-2</x:v>
      </x:c>
      <x:c r="K199" s="17"/>
      <x:c r="L199" s="17"/>
      <x:c r="M199" s="17"/>
      <x:c r="N199" s="17"/>
      <x:c r="O199" s="17"/>
      <x:c r="P199" s="17"/>
      <x:c r="Q199" s="17"/>
      <x:c r="R199" s="17"/>
      <x:c r="S199" s="17"/>
      <x:c r="T199" s="17"/>
      <x:c r="U199" s="17"/>
      <x:c r="V199" s="17"/>
      <x:c r="W199" s="17"/>
      <x:c r="X199" s="17"/>
      <x:c r="Y199" s="17"/>
      <x:c r="Z199" s="17"/>
      <x:c r="AA199" s="17"/>
      <x:c r="AB199" s="17"/>
      <x:c r="AC199" s="17"/>
      <x:c r="AD199" s="17"/>
      <x:c r="AE199" s="17"/>
      <x:c r="AF199" s="17"/>
      <x:c r="AG199" s="17"/>
    </x:row>
    <x:row r="200" spans="1:33" hidden="1">
      <x:c r="A200" t="s">
        <x:v>103</x:v>
      </x:c>
      <x:c r="B200" t="s">
        <x:v>277</x:v>
      </x:c>
      <x:c r="C200">
        <x:v>2</x:v>
      </x:c>
      <x:c r="G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</x:row>
    <x:row r="201" spans="1:33" hidden="1">
      <x:c r="A201" t="s">
        <x:v>274</x:v>
      </x:c>
      <x:c r="B201" t="s">
        <x:v>266</x:v>
      </x:c>
      <x:c r="C201">
        <x:v>2</x:v>
      </x:c>
      <x:c r="G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</x:row>
    <x:row r="202" spans="1:33" s="1" customFormat="1">
      <x:c r="A202" s="1" t="s">
        <x:v>326</x:v>
      </x:c>
      <x:c r="B202" s="1" t="s">
        <x:v>204</x:v>
      </x:c>
      <x:c r="C202" s="1">
        <x:v>2</x:v>
      </x:c>
      <x:c r="D202" s="1" t="s">
        <x:v>14</x:v>
      </x:c>
      <x:c r="E202" s="1">
        <x:f>(C202/315)</x:f>
        <x:v>0.0063492063492063492</x:v>
      </x:c>
      <x:c r="F202" s="1">
        <x:f>E202*915</x:f>
        <x:v>5.8095238095238093</x:v>
      </x:c>
      <x:c r="G202" s="5">
        <x:f>10-F202</x:f>
        <x:v>4.1904761904761907</x:v>
      </x:c>
      <x:c r="H202" s="1">
        <x:f>E202*315</x:f>
        <x:v>2</x:v>
      </x:c>
      <x:c r="I202" s="9">
        <x:f>2-H202</x:f>
        <x:v>0</x:v>
      </x:c>
      <x:c r="J202" s="14"/>
      <x:c r="K202" s="17"/>
      <x:c r="L202" s="17"/>
      <x:c r="M202" s="17"/>
      <x:c r="N202" s="17"/>
      <x:c r="O202" s="17"/>
      <x:c r="P202" s="17"/>
      <x:c r="Q202" s="17"/>
      <x:c r="R202" s="17"/>
      <x:c r="S202" s="17"/>
      <x:c r="T202" s="17"/>
      <x:c r="U202" s="17"/>
      <x:c r="V202" s="17"/>
      <x:c r="W202" s="17"/>
      <x:c r="X202" s="17"/>
      <x:c r="Y202" s="17"/>
      <x:c r="Z202" s="17"/>
      <x:c r="AA202" s="17"/>
      <x:c r="AB202" s="17"/>
      <x:c r="AC202" s="17"/>
      <x:c r="AD202" s="17"/>
      <x:c r="AE202" s="17"/>
      <x:c r="AF202" s="17"/>
      <x:c r="AG202" s="17"/>
    </x:row>
    <x:row r="203" spans="1:33" hidden="1">
      <x:c r="A203">
        <x:v>25</x:v>
      </x:c>
      <x:c r="B203" t="s">
        <x:v>241</x:v>
      </x:c>
      <x:c r="C203">
        <x:v>2</x:v>
      </x:c>
      <x:c r="G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</x:row>
    <x:row r="204" spans="1:33" s="3" customFormat="1">
      <x:c r="A204" s="3" t="s">
        <x:v>133</x:v>
      </x:c>
      <x:c r="B204" s="3" t="s">
        <x:v>248</x:v>
      </x:c>
      <x:c r="C204" s="3">
        <x:v>2</x:v>
      </x:c>
      <x:c r="D204" s="3" t="s">
        <x:v>309</x:v>
      </x:c>
      <x:c r="E204" s="3">
        <x:f t="shared" ref="E204:E206" si="25">C204/315</x:f>
        <x:v>0.0063492063492063492</x:v>
      </x:c>
      <x:c r="F204" s="3">
        <x:f t="shared" ref="F204:F206" si="26">E204*915</x:f>
        <x:v>5.8095238095238093</x:v>
      </x:c>
      <x:c r="G204" s="3">
        <x:f>5-F204</x:f>
        <x:v>-0.80952380952380931</x:v>
      </x:c>
      <x:c r="H204" s="3">
        <x:f t="shared" ref="H204:H206" si="27">E204*315</x:f>
        <x:v>2</x:v>
      </x:c>
      <x:c r="I204" s="3">
        <x:v>0</x:v>
      </x:c>
      <x:c r="K204" s="17"/>
      <x:c r="L204" s="17"/>
      <x:c r="M204" s="17"/>
      <x:c r="N204" s="17"/>
      <x:c r="O204" s="17"/>
      <x:c r="P204" s="17"/>
      <x:c r="Q204" s="17"/>
      <x:c r="R204" s="17"/>
      <x:c r="S204" s="17"/>
      <x:c r="T204" s="17"/>
      <x:c r="U204" s="17"/>
      <x:c r="V204" s="17"/>
      <x:c r="W204" s="17"/>
      <x:c r="X204" s="17"/>
      <x:c r="Y204" s="17"/>
      <x:c r="Z204" s="17"/>
      <x:c r="AA204" s="17"/>
      <x:c r="AB204" s="17"/>
      <x:c r="AC204" s="17"/>
      <x:c r="AD204" s="17"/>
      <x:c r="AE204" s="17"/>
      <x:c r="AF204" s="17"/>
      <x:c r="AG204" s="17"/>
    </x:row>
    <x:row r="205" spans="1:33" s="2" customFormat="1">
      <x:c r="A205" s="2" t="s">
        <x:v>31</x:v>
      </x:c>
      <x:c r="B205" s="2" t="s">
        <x:v>248</x:v>
      </x:c>
      <x:c r="C205" s="2">
        <x:v>2</x:v>
      </x:c>
      <x:c r="D205" s="2" t="s">
        <x:v>18</x:v>
      </x:c>
      <x:c r="E205" s="2">
        <x:f t="shared" si="25"/>
        <x:v>0.0063492063492063492</x:v>
      </x:c>
      <x:c r="F205" s="2">
        <x:f t="shared" si="26"/>
        <x:v>5.8095238095238093</x:v>
      </x:c>
      <x:c r="G205" s="2">
        <x:f>3-F205</x:f>
        <x:v>-2.8095238095238093</x:v>
      </x:c>
      <x:c r="H205" s="2">
        <x:f t="shared" si="27"/>
        <x:v>2</x:v>
      </x:c>
      <x:c r="I205" s="2">
        <x:f>0-H205</x:f>
        <x:v>-2</x:v>
      </x:c>
      <x:c r="K205" s="17"/>
      <x:c r="L205" s="17"/>
      <x:c r="M205" s="17"/>
      <x:c r="N205" s="17"/>
      <x:c r="O205" s="17"/>
      <x:c r="P205" s="17"/>
      <x:c r="Q205" s="17"/>
      <x:c r="R205" s="17"/>
      <x:c r="S205" s="17"/>
      <x:c r="T205" s="17"/>
      <x:c r="U205" s="17"/>
      <x:c r="V205" s="17"/>
      <x:c r="W205" s="17"/>
      <x:c r="X205" s="17"/>
      <x:c r="Y205" s="17"/>
      <x:c r="Z205" s="17"/>
      <x:c r="AA205" s="17"/>
      <x:c r="AB205" s="17"/>
      <x:c r="AC205" s="17"/>
      <x:c r="AD205" s="17"/>
      <x:c r="AE205" s="17"/>
      <x:c r="AF205" s="17"/>
      <x:c r="AG205" s="17"/>
    </x:row>
    <x:row r="206" spans="1:33" s="2" customFormat="1">
      <x:c r="A206" s="2" t="s">
        <x:v>257</x:v>
      </x:c>
      <x:c r="B206" s="2" t="s">
        <x:v>248</x:v>
      </x:c>
      <x:c r="C206" s="2">
        <x:v>2</x:v>
      </x:c>
      <x:c r="D206" s="2" t="s">
        <x:v>18</x:v>
      </x:c>
      <x:c r="E206" s="2">
        <x:f t="shared" si="25"/>
        <x:v>0.0063492063492063492</x:v>
      </x:c>
      <x:c r="F206" s="2">
        <x:f t="shared" si="26"/>
        <x:v>5.8095238095238093</x:v>
      </x:c>
      <x:c r="G206" s="2">
        <x:f>20-F206</x:f>
        <x:v>14.19047619047619</x:v>
      </x:c>
      <x:c r="H206" s="2">
        <x:f t="shared" si="27"/>
        <x:v>2</x:v>
      </x:c>
      <x:c r="I206" s="2">
        <x:v>0</x:v>
      </x:c>
      <x:c r="K206" s="17"/>
      <x:c r="L206" s="17"/>
      <x:c r="M206" s="17"/>
      <x:c r="N206" s="17"/>
      <x:c r="O206" s="17"/>
      <x:c r="P206" s="17"/>
      <x:c r="Q206" s="17"/>
      <x:c r="R206" s="17"/>
      <x:c r="S206" s="17"/>
      <x:c r="T206" s="17"/>
      <x:c r="U206" s="17"/>
      <x:c r="V206" s="17"/>
      <x:c r="W206" s="17"/>
      <x:c r="X206" s="17"/>
      <x:c r="Y206" s="17"/>
      <x:c r="Z206" s="17"/>
      <x:c r="AA206" s="17"/>
      <x:c r="AB206" s="17"/>
      <x:c r="AC206" s="17"/>
      <x:c r="AD206" s="17"/>
      <x:c r="AE206" s="17"/>
      <x:c r="AF206" s="17"/>
      <x:c r="AG206" s="17"/>
    </x:row>
    <x:row r="207" spans="1:33" hidden="1">
      <x:c r="A207" t="s">
        <x:v>314</x:v>
      </x:c>
      <x:c r="B207" t="s">
        <x:v>160</x:v>
      </x:c>
      <x:c r="C207">
        <x:v>1</x:v>
      </x:c>
      <x:c r="G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/>
      <x:c r="AD207"/>
      <x:c r="AE207"/>
      <x:c r="AF207"/>
      <x:c r="AG207"/>
    </x:row>
    <x:row r="208" spans="1:33" hidden="1">
      <x:c r="A208" t="s">
        <x:v>130</x:v>
      </x:c>
      <x:c r="B208" t="s">
        <x:v>266</x:v>
      </x:c>
      <x:c r="C208">
        <x:v>1</x:v>
      </x:c>
      <x:c r="G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</x:row>
    <x:row r="209" spans="1:33" hidden="1">
      <x:c r="A209" t="s">
        <x:v>48</x:v>
      </x:c>
      <x:c r="B209" t="s">
        <x:v>160</x:v>
      </x:c>
      <x:c r="C209">
        <x:v>1</x:v>
      </x:c>
      <x:c r="G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/>
      <x:c r="AD209"/>
      <x:c r="AE209"/>
      <x:c r="AF209"/>
      <x:c r="AG209"/>
    </x:row>
    <x:row r="210" spans="1:33" hidden="1">
      <x:c r="A210" t="s">
        <x:v>282</x:v>
      </x:c>
      <x:c r="B210" t="s">
        <x:v>187</x:v>
      </x:c>
      <x:c r="C210">
        <x:v>1</x:v>
      </x:c>
      <x:c r="G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</x:row>
    <x:row r="211" spans="1:33" hidden="1">
      <x:c r="A211" t="s">
        <x:v>38</x:v>
      </x:c>
      <x:c r="B211" t="s">
        <x:v>266</x:v>
      </x:c>
      <x:c r="C211">
        <x:v>1</x:v>
      </x:c>
      <x:c r="G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</x:row>
    <x:row r="212" spans="1:33" s="3" customFormat="1">
      <x:c r="A212" s="3" t="s">
        <x:v>46</x:v>
      </x:c>
      <x:c r="B212" s="3" t="s">
        <x:v>248</x:v>
      </x:c>
      <x:c r="C212" s="3">
        <x:v>1</x:v>
      </x:c>
      <x:c r="D212" s="3" t="s">
        <x:v>309</x:v>
      </x:c>
      <x:c r="E212" s="3">
        <x:f>C212/315</x:f>
        <x:v>0.0031746031746031746</x:v>
      </x:c>
      <x:c r="F212" s="3">
        <x:f t="shared" ref="F212:F213" si="28">E212*915</x:f>
        <x:v>2.9047619047619047</x:v>
      </x:c>
      <x:c r="G212" s="3">
        <x:f>2-F212</x:f>
        <x:v>-0.90476190476190466</x:v>
      </x:c>
      <x:c r="H212" s="3">
        <x:f t="shared" ref="H212:H213" si="29">E212*315</x:f>
        <x:v>1</x:v>
      </x:c>
      <x:c r="I212" s="3">
        <x:v>0</x:v>
      </x:c>
      <x:c r="K212" s="17"/>
      <x:c r="L212" s="17"/>
      <x:c r="M212" s="17"/>
      <x:c r="N212" s="17"/>
      <x:c r="O212" s="17"/>
      <x:c r="P212" s="17"/>
      <x:c r="Q212" s="17"/>
      <x:c r="R212" s="17"/>
      <x:c r="S212" s="17"/>
      <x:c r="T212" s="17"/>
      <x:c r="U212" s="17"/>
      <x:c r="V212" s="17"/>
      <x:c r="W212" s="17"/>
      <x:c r="X212" s="17"/>
      <x:c r="Y212" s="17"/>
      <x:c r="Z212" s="17"/>
      <x:c r="AA212" s="17"/>
      <x:c r="AB212" s="17"/>
      <x:c r="AC212" s="17"/>
      <x:c r="AD212" s="17"/>
      <x:c r="AE212" s="17"/>
      <x:c r="AF212" s="17"/>
      <x:c r="AG212" s="17"/>
    </x:row>
    <x:row r="213" spans="1:33" s="2" customFormat="1">
      <x:c r="A213" s="2" t="s">
        <x:v>288</x:v>
      </x:c>
      <x:c r="B213" s="2" t="s">
        <x:v>204</x:v>
      </x:c>
      <x:c r="C213" s="2">
        <x:v>1</x:v>
      </x:c>
      <x:c r="D213" s="2" t="s">
        <x:v>18</x:v>
      </x:c>
      <x:c r="E213" s="2">
        <x:f>(C213/315)</x:f>
        <x:v>0.0031746031746031746</x:v>
      </x:c>
      <x:c r="F213" s="1">
        <x:f t="shared" si="28"/>
        <x:v>2.9047619047619047</x:v>
      </x:c>
      <x:c r="G213" s="6">
        <x:f>1-F213</x:f>
        <x:v>-1.9047619047619047</x:v>
      </x:c>
      <x:c r="H213" s="1">
        <x:f t="shared" si="29"/>
        <x:v>1</x:v>
      </x:c>
      <x:c r="I213" s="10">
        <x:f>0-H213</x:f>
        <x:v>-1</x:v>
      </x:c>
      <x:c r="J213" s="15"/>
      <x:c r="K213" s="17"/>
      <x:c r="L213" s="17"/>
      <x:c r="M213" s="17"/>
      <x:c r="N213" s="17"/>
      <x:c r="O213" s="17"/>
      <x:c r="P213" s="17"/>
      <x:c r="Q213" s="17"/>
      <x:c r="R213" s="17"/>
      <x:c r="S213" s="17"/>
      <x:c r="T213" s="17"/>
      <x:c r="U213" s="17"/>
      <x:c r="V213" s="17"/>
      <x:c r="W213" s="17"/>
      <x:c r="X213" s="17"/>
      <x:c r="Y213" s="17"/>
      <x:c r="Z213" s="17"/>
      <x:c r="AA213" s="17"/>
      <x:c r="AB213" s="17"/>
      <x:c r="AC213" s="17"/>
      <x:c r="AD213" s="17"/>
      <x:c r="AE213" s="17"/>
      <x:c r="AF213" s="17"/>
      <x:c r="AG213" s="17"/>
    </x:row>
    <x:row r="214" spans="1:33" hidden="1">
      <x:c r="A214" t="s">
        <x:v>40</x:v>
      </x:c>
      <x:c r="B214" t="s">
        <x:v>277</x:v>
      </x:c>
      <x:c r="C214">
        <x:v>1</x:v>
      </x:c>
      <x:c r="G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/>
      <x:c r="AD214"/>
      <x:c r="AE214"/>
      <x:c r="AF214"/>
      <x:c r="AG214"/>
    </x:row>
    <x:row r="215" spans="1:33" s="2" customFormat="1">
      <x:c r="A215" s="2" t="s">
        <x:v>108</x:v>
      </x:c>
      <x:c r="B215" s="2" t="s">
        <x:v>248</x:v>
      </x:c>
      <x:c r="C215" s="2">
        <x:v>1</x:v>
      </x:c>
      <x:c r="D215" s="2" t="s">
        <x:v>18</x:v>
      </x:c>
      <x:c r="E215" s="2">
        <x:f>C215/315</x:f>
        <x:v>0.0031746031746031746</x:v>
      </x:c>
      <x:c r="F215" s="2">
        <x:f>E215*915</x:f>
        <x:v>2.9047619047619047</x:v>
      </x:c>
      <x:c r="G215" s="2">
        <x:f>7-F215</x:f>
        <x:v>4.0952380952380949</x:v>
      </x:c>
      <x:c r="H215" s="2">
        <x:f>E215*315</x:f>
        <x:v>1</x:v>
      </x:c>
      <x:c r="I215" s="2">
        <x:v>0</x:v>
      </x:c>
      <x:c r="K215" s="17"/>
      <x:c r="L215" s="17"/>
      <x:c r="M215" s="17"/>
      <x:c r="N215" s="17"/>
      <x:c r="O215" s="17"/>
      <x:c r="P215" s="17"/>
      <x:c r="Q215" s="17"/>
      <x:c r="R215" s="17"/>
      <x:c r="S215" s="17"/>
      <x:c r="T215" s="17"/>
      <x:c r="U215" s="17"/>
      <x:c r="V215" s="17"/>
      <x:c r="W215" s="17"/>
      <x:c r="X215" s="17"/>
      <x:c r="Y215" s="17"/>
      <x:c r="Z215" s="17"/>
      <x:c r="AA215" s="17"/>
      <x:c r="AB215" s="17"/>
      <x:c r="AC215" s="17"/>
      <x:c r="AD215" s="17"/>
      <x:c r="AE215" s="17"/>
      <x:c r="AF215" s="17"/>
      <x:c r="AG215" s="17"/>
    </x:row>
    <x:row r="216" spans="1:33" hidden="1">
      <x:c r="A216" t="s">
        <x:v>123</x:v>
      </x:c>
      <x:c r="B216" t="s">
        <x:v>151</x:v>
      </x:c>
      <x:c r="C216">
        <x:v>1</x:v>
      </x:c>
      <x:c r="G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</x:row>
    <x:row r="217" spans="1:33" hidden="1">
      <x:c r="A217" t="s">
        <x:v>372</x:v>
      </x:c>
      <x:c r="B217" t="s">
        <x:v>266</x:v>
      </x:c>
      <x:c r="C217">
        <x:v>1</x:v>
      </x:c>
      <x:c r="G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</x:row>
    <x:row r="218" spans="1:33" hidden="1">
      <x:c r="A218" t="s">
        <x:v>128</x:v>
      </x:c>
      <x:c r="B218" t="s">
        <x:v>197</x:v>
      </x:c>
      <x:c r="C218">
        <x:v>1</x:v>
      </x:c>
      <x:c r="G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/>
      <x:c r="AD218"/>
      <x:c r="AE218"/>
      <x:c r="AF218"/>
      <x:c r="AG218"/>
    </x:row>
    <x:row r="219" spans="1:10">
      <x:c r="A219" t="s">
        <x:v>281</x:v>
      </x:c>
      <x:c r="B219" t="s">
        <x:v>248</x:v>
      </x:c>
      <x:c r="C219">
        <x:v>1</x:v>
      </x:c>
      <x:c r="D219" t="s">
        <x:v>14</x:v>
      </x:c>
      <x:c r="E219">
        <x:f>C219/315</x:f>
        <x:v>0.0031746031746031746</x:v>
      </x:c>
      <x:c r="F219" s="1">
        <x:f>E219*915</x:f>
        <x:v>2.9047619047619047</x:v>
      </x:c>
      <x:c r="G219">
        <x:f>1-F219</x:f>
        <x:v>-1.9047619047619047</x:v>
      </x:c>
      <x:c r="H219" s="1">
        <x:f>E219*315</x:f>
        <x:v>1</x:v>
      </x:c>
      <x:c r="I219">
        <x:v>0</x:v>
      </x:c>
      <x:c r="J219"/>
    </x:row>
    <x:row r="220" spans="1:33" hidden="1">
      <x:c r="A220" t="s">
        <x:v>87</x:v>
      </x:c>
      <x:c r="B220" t="s">
        <x:v>277</x:v>
      </x:c>
      <x:c r="C220">
        <x:v>1</x:v>
      </x:c>
      <x:c r="G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/>
      <x:c r="AD220"/>
      <x:c r="AE220"/>
      <x:c r="AF220"/>
      <x:c r="AG220"/>
    </x:row>
    <x:row r="221" spans="1:33" hidden="1">
      <x:c r="A221" t="s">
        <x:v>319</x:v>
      </x:c>
      <x:c r="B221" t="s">
        <x:v>266</x:v>
      </x:c>
      <x:c r="C221">
        <x:v>1</x:v>
      </x:c>
      <x:c r="G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</x:row>
    <x:row r="222" spans="1:33" hidden="1">
      <x:c r="A222" t="s">
        <x:v>301</x:v>
      </x:c>
      <x:c r="B222" t="s">
        <x:v>277</x:v>
      </x:c>
      <x:c r="C222">
        <x:v>1</x:v>
      </x:c>
      <x:c r="G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</x:row>
    <x:row r="223" spans="1:33" hidden="1">
      <x:c r="A223" t="s">
        <x:v>337</x:v>
      </x:c>
      <x:c r="B223" t="s">
        <x:v>112</x:v>
      </x:c>
      <x:c r="C223">
        <x:v>1</x:v>
      </x:c>
      <x:c r="G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/>
      <x:c r="AD223"/>
      <x:c r="AE223"/>
      <x:c r="AF223"/>
      <x:c r="AG223"/>
    </x:row>
    <x:row r="224" spans="1:33" hidden="1">
      <x:c r="A224" t="s">
        <x:v>6</x:v>
      </x:c>
      <x:c r="B224" t="s">
        <x:v>201</x:v>
      </x:c>
      <x:c r="C224">
        <x:v>1</x:v>
      </x:c>
      <x:c r="G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/>
      <x:c r="AD224"/>
      <x:c r="AE224"/>
      <x:c r="AF224"/>
      <x:c r="AG224"/>
    </x:row>
    <x:row r="225" spans="1:33" hidden="1">
      <x:c r="A225" t="s">
        <x:v>196</x:v>
      </x:c>
      <x:c r="B225" t="s">
        <x:v>225</x:v>
      </x:c>
      <x:c r="C225">
        <x:v>1</x:v>
      </x:c>
      <x:c r="G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</x:row>
    <x:row r="226" spans="1:33" hidden="1">
      <x:c r="A226" t="s">
        <x:v>296</x:v>
      </x:c>
      <x:c r="B226" t="s">
        <x:v>9</x:v>
      </x:c>
      <x:c r="C226">
        <x:v>1</x:v>
      </x:c>
      <x:c r="G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</x:row>
    <x:row r="227" spans="1:33" hidden="1">
      <x:c r="A227" t="s">
        <x:v>312</x:v>
      </x:c>
      <x:c r="B227" t="s">
        <x:v>194</x:v>
      </x:c>
      <x:c r="C227">
        <x:v>1</x:v>
      </x:c>
      <x:c r="G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  <x:c r="AC227"/>
      <x:c r="AD227"/>
      <x:c r="AE227"/>
      <x:c r="AF227"/>
      <x:c r="AG227"/>
    </x:row>
    <x:row r="228" spans="1:33" hidden="1">
      <x:c r="A228" t="s">
        <x:v>304</x:v>
      </x:c>
      <x:c r="B228" t="s">
        <x:v>151</x:v>
      </x:c>
      <x:c r="C228">
        <x:v>1</x:v>
      </x:c>
      <x:c r="G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/>
      <x:c r="AD228"/>
      <x:c r="AE228"/>
      <x:c r="AF228"/>
      <x:c r="AG228"/>
    </x:row>
    <x:row r="229" spans="1:33" hidden="1">
      <x:c r="A229" t="s">
        <x:v>311</x:v>
      </x:c>
      <x:c r="B229" t="s">
        <x:v>215</x:v>
      </x:c>
      <x:c r="C229">
        <x:v>1</x:v>
      </x:c>
      <x:c r="G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</x:row>
    <x:row r="230" spans="1:33" hidden="1">
      <x:c r="A230" t="s">
        <x:v>339</x:v>
      </x:c>
      <x:c r="B230" t="s">
        <x:v>160</x:v>
      </x:c>
      <x:c r="C230">
        <x:v>1</x:v>
      </x:c>
      <x:c r="G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</x:row>
    <x:row r="231" spans="1:33" hidden="1">
      <x:c r="A231" t="s">
        <x:v>319</x:v>
      </x:c>
      <x:c r="B231" t="s">
        <x:v>278</x:v>
      </x:c>
      <x:c r="C231">
        <x:v>1</x:v>
      </x:c>
      <x:c r="G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  <x:c r="AC231"/>
      <x:c r="AD231"/>
      <x:c r="AE231"/>
      <x:c r="AF231"/>
      <x:c r="AG231"/>
    </x:row>
    <x:row r="232" spans="1:33" hidden="1">
      <x:c r="A232" t="s">
        <x:v>119</x:v>
      </x:c>
      <x:c r="B232" t="s">
        <x:v>277</x:v>
      </x:c>
      <x:c r="C232">
        <x:v>1</x:v>
      </x:c>
      <x:c r="G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/>
      <x:c r="AD232"/>
      <x:c r="AE232"/>
      <x:c r="AF232"/>
      <x:c r="AG232"/>
    </x:row>
    <x:row r="233" spans="1:33" hidden="1">
      <x:c r="A233" t="s">
        <x:v>373</x:v>
      </x:c>
      <x:c r="B233" t="s">
        <x:v>9</x:v>
      </x:c>
      <x:c r="C233">
        <x:v>1</x:v>
      </x:c>
      <x:c r="G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</x:row>
    <x:row r="234" spans="1:33" hidden="1">
      <x:c r="A234" t="s">
        <x:v>205</x:v>
      </x:c>
      <x:c r="B234" t="s">
        <x:v>277</x:v>
      </x:c>
      <x:c r="C234">
        <x:v>1</x:v>
      </x:c>
      <x:c r="G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</x:row>
    <x:row r="235" spans="1:33" hidden="1">
      <x:c r="A235" t="s">
        <x:v>51</x:v>
      </x:c>
      <x:c r="B235" t="s">
        <x:v>266</x:v>
      </x:c>
      <x:c r="C235">
        <x:v>1</x:v>
      </x:c>
      <x:c r="G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</x:row>
    <x:row r="236" spans="1:33" hidden="1">
      <x:c r="A236" t="s">
        <x:v>318</x:v>
      </x:c>
      <x:c r="B236" t="s">
        <x:v>266</x:v>
      </x:c>
      <x:c r="C236">
        <x:v>1</x:v>
      </x:c>
      <x:c r="G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/>
      <x:c r="AD236"/>
      <x:c r="AE236"/>
      <x:c r="AF236"/>
      <x:c r="AG236"/>
    </x:row>
    <x:row r="237" spans="1:33" hidden="1">
      <x:c r="A237" t="s">
        <x:v>24</x:v>
      </x:c>
      <x:c r="B237" t="s">
        <x:v>160</x:v>
      </x:c>
      <x:c r="C237">
        <x:v>1</x:v>
      </x:c>
      <x:c r="G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</x:row>
    <x:row r="238" spans="1:33" hidden="1">
      <x:c r="A238" t="s">
        <x:v>35</x:v>
      </x:c>
      <x:c r="B238" t="s">
        <x:v>266</x:v>
      </x:c>
      <x:c r="C238">
        <x:v>1</x:v>
      </x:c>
      <x:c r="G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/>
      <x:c r="AD238"/>
      <x:c r="AE238"/>
      <x:c r="AF238"/>
      <x:c r="AG238"/>
    </x:row>
    <x:row r="239" spans="1:33" hidden="1">
      <x:c r="A239">
        <x:v>6</x:v>
      </x:c>
      <x:c r="B239" t="s">
        <x:v>241</x:v>
      </x:c>
      <x:c r="C239">
        <x:v>1</x:v>
      </x:c>
      <x:c r="G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/>
      <x:c r="AD239"/>
      <x:c r="AE239"/>
      <x:c r="AF239"/>
      <x:c r="AG239"/>
    </x:row>
    <x:row r="240" spans="1:33" hidden="1">
      <x:c r="A240" t="s">
        <x:v>245</x:v>
      </x:c>
      <x:c r="B240" t="s">
        <x:v>217</x:v>
      </x:c>
      <x:c r="C240">
        <x:v>1</x:v>
      </x:c>
      <x:c r="G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</x:row>
    <x:row r="241" spans="1:33" hidden="1">
      <x:c r="A241" t="s">
        <x:v>79</x:v>
      </x:c>
      <x:c r="B241" t="s">
        <x:v>215</x:v>
      </x:c>
      <x:c r="C241">
        <x:v>1</x:v>
      </x:c>
      <x:c r="G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</x:row>
    <x:row r="242" spans="1:33" s="2" customFormat="1">
      <x:c r="A242" s="2" t="s">
        <x:v>323</x:v>
      </x:c>
      <x:c r="B242" s="2" t="s">
        <x:v>248</x:v>
      </x:c>
      <x:c r="C242" s="2">
        <x:v>1</x:v>
      </x:c>
      <x:c r="D242" s="2" t="s">
        <x:v>18</x:v>
      </x:c>
      <x:c r="E242" s="2">
        <x:f>C242/315</x:f>
        <x:v>0.0031746031746031746</x:v>
      </x:c>
      <x:c r="F242" s="2">
        <x:f>E242*915</x:f>
        <x:v>2.9047619047619047</x:v>
      </x:c>
      <x:c r="G242" s="2">
        <x:f>0-F242</x:f>
        <x:v>-2.9047619047619047</x:v>
      </x:c>
      <x:c r="H242" s="2">
        <x:f>E242*315</x:f>
        <x:v>1</x:v>
      </x:c>
      <x:c r="I242" s="2">
        <x:v>-1</x:v>
      </x:c>
      <x:c r="K242" s="17"/>
      <x:c r="L242" s="17"/>
      <x:c r="M242" s="17"/>
      <x:c r="N242" s="17"/>
      <x:c r="O242" s="17"/>
      <x:c r="P242" s="17"/>
      <x:c r="Q242" s="17"/>
      <x:c r="R242" s="17"/>
      <x:c r="S242" s="17"/>
      <x:c r="T242" s="17"/>
      <x:c r="U242" s="17"/>
      <x:c r="V242" s="17"/>
      <x:c r="W242" s="17"/>
      <x:c r="X242" s="17"/>
      <x:c r="Y242" s="17"/>
      <x:c r="Z242" s="17"/>
      <x:c r="AA242" s="17"/>
      <x:c r="AB242" s="17"/>
      <x:c r="AC242" s="17"/>
      <x:c r="AD242" s="17"/>
      <x:c r="AE242" s="17"/>
      <x:c r="AF242" s="17"/>
      <x:c r="AG242" s="17"/>
    </x:row>
    <x:row r="243" spans="1:33" hidden="1">
      <x:c r="A243" t="s">
        <x:v>23</x:v>
      </x:c>
      <x:c r="B243" t="s">
        <x:v>179</x:v>
      </x:c>
      <x:c r="C243">
        <x:v>1</x:v>
      </x:c>
      <x:c r="G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</x:row>
    <x:row r="244" spans="1:33" hidden="1">
      <x:c r="A244" t="s">
        <x:v>180</x:v>
      </x:c>
      <x:c r="B244" t="s">
        <x:v>227</x:v>
      </x:c>
      <x:c r="C244">
        <x:v>1</x:v>
      </x:c>
      <x:c r="G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/>
      <x:c r="AD244"/>
      <x:c r="AE244"/>
      <x:c r="AF244"/>
      <x:c r="AG244"/>
    </x:row>
    <x:row r="245" spans="1:33" hidden="1">
      <x:c r="A245" t="s">
        <x:v>313</x:v>
      </x:c>
      <x:c r="B245" t="s">
        <x:v>215</x:v>
      </x:c>
      <x:c r="C245">
        <x:v>1</x:v>
      </x:c>
      <x:c r="G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</x:row>
    <x:row r="246" spans="1:33" hidden="1">
      <x:c r="A246" t="s">
        <x:v>41</x:v>
      </x:c>
      <x:c r="B246" t="s">
        <x:v>201</x:v>
      </x:c>
      <x:c r="C246">
        <x:v>1</x:v>
      </x:c>
      <x:c r="G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</x:row>
    <x:row r="247" spans="1:33" hidden="1">
      <x:c r="A247" t="s">
        <x:v>182</x:v>
      </x:c>
      <x:c r="B247" t="s">
        <x:v>173</x:v>
      </x:c>
      <x:c r="C247">
        <x:v>1</x:v>
      </x:c>
      <x:c r="G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  <x:c r="AA247"/>
      <x:c r="AB247"/>
      <x:c r="AC247"/>
      <x:c r="AD247"/>
      <x:c r="AE247"/>
      <x:c r="AF247"/>
      <x:c r="AG247"/>
    </x:row>
    <x:row r="248" spans="1:33" hidden="1">
      <x:c r="A248" t="s">
        <x:v>340</x:v>
      </x:c>
      <x:c r="B248" t="s">
        <x:v>215</x:v>
      </x:c>
      <x:c r="C248">
        <x:v>1</x:v>
      </x:c>
      <x:c r="G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  <x:c r="AA248"/>
      <x:c r="AB248"/>
      <x:c r="AC248"/>
      <x:c r="AD248"/>
      <x:c r="AE248"/>
      <x:c r="AF248"/>
      <x:c r="AG248"/>
    </x:row>
    <x:row r="249" spans="1:10">
      <x:c r="A249" t="s">
        <x:v>27</x:v>
      </x:c>
      <x:c r="B249" t="s">
        <x:v>248</x:v>
      </x:c>
      <x:c r="C249">
        <x:v>1</x:v>
      </x:c>
      <x:c r="D249" t="s">
        <x:v>14</x:v>
      </x:c>
      <x:c r="E249">
        <x:f>C249/315</x:f>
        <x:v>0.0031746031746031746</x:v>
      </x:c>
      <x:c r="F249" s="1">
        <x:f>E249*915</x:f>
        <x:v>2.9047619047619047</x:v>
      </x:c>
      <x:c r="G249">
        <x:f>2-F249</x:f>
        <x:v>-0.90476190476190466</x:v>
      </x:c>
      <x:c r="H249" s="1">
        <x:f>E249*315</x:f>
        <x:v>1</x:v>
      </x:c>
      <x:c r="I249">
        <x:v>0</x:v>
      </x:c>
      <x:c r="J249"/>
    </x:row>
    <x:row r="250" spans="1:33" hidden="1">
      <x:c r="A250" t="s">
        <x:v>145</x:v>
      </x:c>
      <x:c r="B250" t="s">
        <x:v>259</x:v>
      </x:c>
      <x:c r="C250">
        <x:v>1</x:v>
      </x:c>
      <x:c r="G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/>
      <x:c r="AD250"/>
      <x:c r="AE250"/>
      <x:c r="AF250"/>
      <x:c r="AG250"/>
    </x:row>
    <x:row r="251" spans="1:33" hidden="1">
      <x:c r="A251" t="s">
        <x:v>57</x:v>
      </x:c>
      <x:c r="B251" t="s">
        <x:v>266</x:v>
      </x:c>
      <x:c r="C251">
        <x:v>1</x:v>
      </x:c>
      <x:c r="G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  <x:c r="AA251"/>
      <x:c r="AB251"/>
      <x:c r="AC251"/>
      <x:c r="AD251"/>
      <x:c r="AE251"/>
      <x:c r="AF251"/>
      <x:c r="AG251"/>
    </x:row>
    <x:row r="252" spans="1:33" hidden="1">
      <x:c r="A252" t="s">
        <x:v>149</x:v>
      </x:c>
      <x:c r="B252" t="s">
        <x:v>215</x:v>
      </x:c>
      <x:c r="C252">
        <x:v>1</x:v>
      </x:c>
      <x:c r="G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</x:row>
    <x:row r="253" spans="1:10">
      <x:c r="A253" t="s">
        <x:v>52</x:v>
      </x:c>
      <x:c r="B253" t="s">
        <x:v>248</x:v>
      </x:c>
      <x:c r="C253">
        <x:v>1</x:v>
      </x:c>
      <x:c r="D253" t="s">
        <x:v>14</x:v>
      </x:c>
      <x:c r="E253">
        <x:f>C253/315</x:f>
        <x:v>0.0031746031746031746</x:v>
      </x:c>
      <x:c r="F253" s="1">
        <x:f>E253*915</x:f>
        <x:v>2.9047619047619047</x:v>
      </x:c>
      <x:c r="G253">
        <x:f>2-F253</x:f>
        <x:v>-0.90476190476190466</x:v>
      </x:c>
      <x:c r="H253" s="1">
        <x:f>E253*315</x:f>
        <x:v>1</x:v>
      </x:c>
      <x:c r="I253">
        <x:v>-1</x:v>
      </x:c>
      <x:c r="J253"/>
    </x:row>
    <x:row r="254" spans="1:33" hidden="1">
      <x:c r="A254" t="s">
        <x:v>320</x:v>
      </x:c>
      <x:c r="B254" t="s">
        <x:v>9</x:v>
      </x:c>
      <x:c r="C254">
        <x:v>1</x:v>
      </x:c>
      <x:c r="G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</x:row>
    <x:row r="255" spans="1:33" hidden="1">
      <x:c r="A255" t="s">
        <x:v>378</x:v>
      </x:c>
      <x:c r="B255" t="s">
        <x:v>160</x:v>
      </x:c>
      <x:c r="C255">
        <x:v>1</x:v>
      </x:c>
      <x:c r="G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</x:row>
    <x:row r="256" spans="1:33" hidden="1">
      <x:c r="A256" t="s">
        <x:v>328</x:v>
      </x:c>
      <x:c r="B256" t="s">
        <x:v>266</x:v>
      </x:c>
      <x:c r="C256">
        <x:v>1</x:v>
      </x:c>
      <x:c r="G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</x:row>
    <x:row r="257" spans="1:33" hidden="1">
      <x:c r="A257" t="s">
        <x:v>332</x:v>
      </x:c>
      <x:c r="B257" t="s">
        <x:v>151</x:v>
      </x:c>
      <x:c r="C257">
        <x:v>1</x:v>
      </x:c>
      <x:c r="G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</x:row>
    <x:row r="258" spans="1:33" hidden="1">
      <x:c r="A258" t="s">
        <x:v>26</x:v>
      </x:c>
      <x:c r="B258" t="s">
        <x:v>266</x:v>
      </x:c>
      <x:c r="C258">
        <x:v>1</x:v>
      </x:c>
      <x:c r="G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</x:row>
    <x:row r="259" spans="1:33" s="2" customFormat="1">
      <x:c r="A259" s="2" t="s">
        <x:v>56</x:v>
      </x:c>
      <x:c r="B259" s="2" t="s">
        <x:v>248</x:v>
      </x:c>
      <x:c r="C259" s="2">
        <x:v>1</x:v>
      </x:c>
      <x:c r="D259" s="2" t="s">
        <x:v>18</x:v>
      </x:c>
      <x:c r="E259" s="2">
        <x:f t="shared" ref="E259:E260" si="30">C259/315</x:f>
        <x:v>0.0031746031746031746</x:v>
      </x:c>
      <x:c r="F259" s="2">
        <x:f t="shared" ref="F259:F260" si="31">E259*915</x:f>
        <x:v>2.9047619047619047</x:v>
      </x:c>
      <x:c r="G259" s="2">
        <x:f>0-F259</x:f>
        <x:v>-2.9047619047619047</x:v>
      </x:c>
      <x:c r="H259" s="2">
        <x:f t="shared" ref="H259:H260" si="32">E259*315</x:f>
        <x:v>1</x:v>
      </x:c>
      <x:c r="I259" s="2">
        <x:v>0</x:v>
      </x:c>
      <x:c r="K259" s="17"/>
      <x:c r="L259" s="17"/>
      <x:c r="M259" s="17"/>
      <x:c r="N259" s="17"/>
      <x:c r="O259" s="17"/>
      <x:c r="P259" s="17"/>
      <x:c r="Q259" s="17"/>
      <x:c r="R259" s="17"/>
      <x:c r="S259" s="17"/>
      <x:c r="T259" s="17"/>
      <x:c r="U259" s="17"/>
      <x:c r="V259" s="17"/>
      <x:c r="W259" s="17"/>
      <x:c r="X259" s="17"/>
      <x:c r="Y259" s="17"/>
      <x:c r="Z259" s="17"/>
      <x:c r="AA259" s="17"/>
      <x:c r="AB259" s="17"/>
      <x:c r="AC259" s="17"/>
      <x:c r="AD259" s="17"/>
      <x:c r="AE259" s="17"/>
      <x:c r="AF259" s="17"/>
      <x:c r="AG259" s="17"/>
    </x:row>
    <x:row r="260" spans="1:33" s="3" customFormat="1">
      <x:c r="A260" s="3" t="s">
        <x:v>325</x:v>
      </x:c>
      <x:c r="B260" s="3" t="s">
        <x:v>248</x:v>
      </x:c>
      <x:c r="C260" s="3">
        <x:v>1</x:v>
      </x:c>
      <x:c r="D260" s="3" t="s">
        <x:v>309</x:v>
      </x:c>
      <x:c r="E260" s="3">
        <x:f t="shared" si="30"/>
        <x:v>0.0031746031746031746</x:v>
      </x:c>
      <x:c r="F260" s="3">
        <x:f t="shared" si="31"/>
        <x:v>2.9047619047619047</x:v>
      </x:c>
      <x:c r="G260" s="3">
        <x:f>0-F260</x:f>
        <x:v>-2.9047619047619047</x:v>
      </x:c>
      <x:c r="H260" s="3">
        <x:f t="shared" si="32"/>
        <x:v>1</x:v>
      </x:c>
      <x:c r="I260" s="3">
        <x:v>-1</x:v>
      </x:c>
      <x:c r="K260" s="17"/>
      <x:c r="L260" s="17"/>
      <x:c r="M260" s="17"/>
      <x:c r="N260" s="17"/>
      <x:c r="O260" s="17"/>
      <x:c r="P260" s="17"/>
      <x:c r="Q260" s="17"/>
      <x:c r="R260" s="17"/>
      <x:c r="S260" s="17"/>
      <x:c r="T260" s="17"/>
      <x:c r="U260" s="17"/>
      <x:c r="V260" s="17"/>
      <x:c r="W260" s="17"/>
      <x:c r="X260" s="17"/>
      <x:c r="Y260" s="17"/>
      <x:c r="Z260" s="17"/>
      <x:c r="AA260" s="17"/>
      <x:c r="AB260" s="17"/>
      <x:c r="AC260" s="17"/>
      <x:c r="AD260" s="17"/>
      <x:c r="AE260" s="17"/>
      <x:c r="AF260" s="17"/>
      <x:c r="AG260" s="17"/>
    </x:row>
    <x:row r="261" spans="1:33" hidden="1">
      <x:c r="A261" t="s">
        <x:v>50</x:v>
      </x:c>
      <x:c r="B261" t="s">
        <x:v>151</x:v>
      </x:c>
      <x:c r="C261">
        <x:v>1</x:v>
      </x:c>
      <x:c r="G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  <x:c r="AA261"/>
      <x:c r="AB261"/>
      <x:c r="AC261"/>
      <x:c r="AD261"/>
      <x:c r="AE261"/>
      <x:c r="AF261"/>
      <x:c r="AG261"/>
    </x:row>
    <x:row r="262" spans="1:33" hidden="1">
      <x:c r="A262" t="s">
        <x:v>298</x:v>
      </x:c>
      <x:c r="B262" t="s">
        <x:v>151</x:v>
      </x:c>
      <x:c r="C262">
        <x:v>1</x:v>
      </x:c>
      <x:c r="G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/>
      <x:c r="AD262"/>
      <x:c r="AE262"/>
      <x:c r="AF262"/>
      <x:c r="AG262"/>
    </x:row>
    <x:row r="263" spans="1:33" hidden="1">
      <x:c r="A263" t="s">
        <x:v>39</x:v>
      </x:c>
      <x:c r="B263" t="s">
        <x:v>215</x:v>
      </x:c>
      <x:c r="C263">
        <x:v>1</x:v>
      </x:c>
      <x:c r="G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/>
      <x:c r="AD263"/>
      <x:c r="AE263"/>
      <x:c r="AF263"/>
      <x:c r="AG263"/>
    </x:row>
    <x:row r="264" spans="1:33" hidden="1">
      <x:c r="A264">
        <x:v>81</x:v>
      </x:c>
      <x:c r="B264" t="s">
        <x:v>241</x:v>
      </x:c>
      <x:c r="C264">
        <x:v>1</x:v>
      </x:c>
      <x:c r="G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</x:row>
    <x:row r="265" spans="1:33" hidden="1">
      <x:c r="A265" t="s">
        <x:v>67</x:v>
      </x:c>
      <x:c r="B265" t="s">
        <x:v>215</x:v>
      </x:c>
      <x:c r="C265">
        <x:v>1</x:v>
      </x:c>
      <x:c r="G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/>
      <x:c r="AD265"/>
      <x:c r="AE265"/>
      <x:c r="AF265"/>
      <x:c r="AG265"/>
    </x:row>
    <x:row r="266" spans="1:33" hidden="1">
      <x:c r="A266" t="s">
        <x:v>284</x:v>
      </x:c>
      <x:c r="B266" t="s">
        <x:v>266</x:v>
      </x:c>
      <x:c r="C266">
        <x:v>1</x:v>
      </x:c>
      <x:c r="G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</x:row>
    <x:row r="267" spans="1:33" hidden="1">
      <x:c r="A267" t="s">
        <x:v>15</x:v>
      </x:c>
      <x:c r="B267" t="s">
        <x:v>266</x:v>
      </x:c>
      <x:c r="C267">
        <x:v>1</x:v>
      </x:c>
      <x:c r="G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</x:row>
    <x:row r="268" spans="1:33" hidden="1">
      <x:c r="A268" t="s">
        <x:v>211</x:v>
      </x:c>
      <x:c r="B268" t="s">
        <x:v>217</x:v>
      </x:c>
      <x:c r="C268">
        <x:v>1</x:v>
      </x:c>
      <x:c r="G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</x:row>
    <x:row r="269" spans="1:33" hidden="1">
      <x:c r="A269" t="s">
        <x:v>20</x:v>
      </x:c>
      <x:c r="B269" t="s">
        <x:v>266</x:v>
      </x:c>
      <x:c r="C269">
        <x:v>1</x:v>
      </x:c>
      <x:c r="G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</x:row>
    <x:row r="270" spans="1:33" s="2" customFormat="1">
      <x:c r="A270" s="2" t="s">
        <x:v>42</x:v>
      </x:c>
      <x:c r="B270" s="2" t="s">
        <x:v>204</x:v>
      </x:c>
      <x:c r="C270" s="2">
        <x:v>1</x:v>
      </x:c>
      <x:c r="D270" s="2" t="s">
        <x:v>18</x:v>
      </x:c>
      <x:c r="E270" s="2">
        <x:f>(C270/315)</x:f>
        <x:v>0.0031746031746031746</x:v>
      </x:c>
      <x:c r="F270" s="1">
        <x:f t="shared" ref="F270:F271" si="33">E270*915</x:f>
        <x:v>2.9047619047619047</x:v>
      </x:c>
      <x:c r="G270" s="6">
        <x:f>2-F270</x:f>
        <x:v>-0.90476190476190466</x:v>
      </x:c>
      <x:c r="H270" s="1">
        <x:f t="shared" ref="H270:H271" si="34">E270*315</x:f>
        <x:v>1</x:v>
      </x:c>
      <x:c r="I270" s="10">
        <x:f>0-H270</x:f>
        <x:v>-1</x:v>
      </x:c>
      <x:c r="J270" s="15"/>
      <x:c r="K270" s="17"/>
      <x:c r="L270" s="17"/>
      <x:c r="M270" s="17"/>
      <x:c r="N270" s="17"/>
      <x:c r="O270" s="17"/>
      <x:c r="P270" s="17"/>
      <x:c r="Q270" s="17"/>
      <x:c r="R270" s="17"/>
      <x:c r="S270" s="17"/>
      <x:c r="T270" s="17"/>
      <x:c r="U270" s="17"/>
      <x:c r="V270" s="17"/>
      <x:c r="W270" s="17"/>
      <x:c r="X270" s="17"/>
      <x:c r="Y270" s="17"/>
      <x:c r="Z270" s="17"/>
      <x:c r="AA270" s="17"/>
      <x:c r="AB270" s="17"/>
      <x:c r="AC270" s="17"/>
      <x:c r="AD270" s="17"/>
      <x:c r="AE270" s="17"/>
      <x:c r="AF270" s="17"/>
      <x:c r="AG270" s="17"/>
    </x:row>
    <x:row r="271" spans="1:33" s="2" customFormat="1">
      <x:c r="A271" s="2" t="s">
        <x:v>331</x:v>
      </x:c>
      <x:c r="B271" s="2" t="s">
        <x:v>248</x:v>
      </x:c>
      <x:c r="C271" s="2">
        <x:v>1</x:v>
      </x:c>
      <x:c r="D271" s="2" t="s">
        <x:v>18</x:v>
      </x:c>
      <x:c r="E271" s="2">
        <x:f>C271/315</x:f>
        <x:v>0.0031746031746031746</x:v>
      </x:c>
      <x:c r="F271" s="2">
        <x:f t="shared" si="33"/>
        <x:v>2.9047619047619047</x:v>
      </x:c>
      <x:c r="G271" s="2">
        <x:f>0-F271</x:f>
        <x:v>-2.9047619047619047</x:v>
      </x:c>
      <x:c r="H271" s="2">
        <x:f t="shared" si="34"/>
        <x:v>1</x:v>
      </x:c>
      <x:c r="I271" s="2">
        <x:v>-1</x:v>
      </x:c>
      <x:c r="K271" s="17"/>
      <x:c r="L271" s="17"/>
      <x:c r="M271" s="17"/>
      <x:c r="N271" s="17"/>
      <x:c r="O271" s="17"/>
      <x:c r="P271" s="17"/>
      <x:c r="Q271" s="17"/>
      <x:c r="R271" s="17"/>
      <x:c r="S271" s="17"/>
      <x:c r="T271" s="17"/>
      <x:c r="U271" s="17"/>
      <x:c r="V271" s="17"/>
      <x:c r="W271" s="17"/>
      <x:c r="X271" s="17"/>
      <x:c r="Y271" s="17"/>
      <x:c r="Z271" s="17"/>
      <x:c r="AA271" s="17"/>
      <x:c r="AB271" s="17"/>
      <x:c r="AC271" s="17"/>
      <x:c r="AD271" s="17"/>
      <x:c r="AE271" s="17"/>
      <x:c r="AF271" s="17"/>
      <x:c r="AG271" s="17"/>
    </x:row>
    <x:row r="272" spans="1:33" hidden="1">
      <x:c r="A272" t="s">
        <x:v>321</x:v>
      </x:c>
      <x:c r="B272" t="s">
        <x:v>215</x:v>
      </x:c>
      <x:c r="C272">
        <x:v>1</x:v>
      </x:c>
      <x:c r="G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</x:row>
    <x:row r="273" spans="1:33" hidden="1">
      <x:c r="A273" t="s">
        <x:v>341</x:v>
      </x:c>
      <x:c r="B273" t="s">
        <x:v>9</x:v>
      </x:c>
      <x:c r="C273">
        <x:v>1</x:v>
      </x:c>
      <x:c r="G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</x:row>
    <x:row r="274" spans="1:33" hidden="1">
      <x:c r="A274" t="s">
        <x:v>95</x:v>
      </x:c>
      <x:c r="B274" t="s">
        <x:v>266</x:v>
      </x:c>
      <x:c r="C274">
        <x:v>1</x:v>
      </x:c>
      <x:c r="G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</x:row>
    <x:row r="275" spans="1:33" hidden="1">
      <x:c r="A275" t="s">
        <x:v>359</x:v>
      </x:c>
      <x:c r="B275" t="s">
        <x:v>160</x:v>
      </x:c>
      <x:c r="C275">
        <x:v>1</x:v>
      </x:c>
      <x:c r="G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</x:row>
    <x:row r="276" spans="1:33" hidden="1">
      <x:c r="A276" t="s">
        <x:v>344</x:v>
      </x:c>
      <x:c r="B276" t="s">
        <x:v>160</x:v>
      </x:c>
      <x:c r="C276">
        <x:v>1</x:v>
      </x:c>
      <x:c r="G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</x:row>
    <x:row r="277" spans="1:33" hidden="1">
      <x:c r="A277" t="s">
        <x:v>343</x:v>
      </x:c>
      <x:c r="B277" t="s">
        <x:v>266</x:v>
      </x:c>
      <x:c r="C277">
        <x:v>1</x:v>
      </x:c>
      <x:c r="G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</x:row>
    <x:row r="278" spans="1:33" hidden="1">
      <x:c r="A278" t="s">
        <x:v>93</x:v>
      </x:c>
      <x:c r="B278" t="s">
        <x:v>225</x:v>
      </x:c>
      <x:c r="C278">
        <x:v>1</x:v>
      </x:c>
      <x:c r="G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</x:row>
    <x:row r="279" spans="1:33" hidden="1">
      <x:c r="A279" t="s">
        <x:v>362</x:v>
      </x:c>
      <x:c r="B279" t="s">
        <x:v>160</x:v>
      </x:c>
      <x:c r="C279">
        <x:v>1</x:v>
      </x:c>
      <x:c r="G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</x:row>
    <x:row r="280" spans="1:33" hidden="1">
      <x:c r="A280" t="s">
        <x:v>12</x:v>
      </x:c>
      <x:c r="B280" t="s">
        <x:v>266</x:v>
      </x:c>
      <x:c r="C280">
        <x:v>1</x:v>
      </x:c>
      <x:c r="G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</x:row>
    <x:row r="281" spans="1:33" s="2" customFormat="1">
      <x:c r="A281" s="2" t="s">
        <x:v>297</x:v>
      </x:c>
      <x:c r="B281" s="2" t="s">
        <x:v>248</x:v>
      </x:c>
      <x:c r="C281" s="2">
        <x:v>1</x:v>
      </x:c>
      <x:c r="D281" s="2" t="s">
        <x:v>18</x:v>
      </x:c>
      <x:c r="E281" s="2">
        <x:f>C281/315</x:f>
        <x:v>0.0031746031746031746</x:v>
      </x:c>
      <x:c r="F281" s="2">
        <x:f>E281*915</x:f>
        <x:v>2.9047619047619047</x:v>
      </x:c>
      <x:c r="G281" s="2">
        <x:f>1-F281</x:f>
        <x:v>-1.9047619047619047</x:v>
      </x:c>
      <x:c r="H281" s="2">
        <x:f>E281*315</x:f>
        <x:v>1</x:v>
      </x:c>
      <x:c r="I281" s="2">
        <x:v>-1</x:v>
      </x:c>
      <x:c r="K281" s="17"/>
      <x:c r="L281" s="17"/>
      <x:c r="M281" s="17"/>
      <x:c r="N281" s="17"/>
      <x:c r="O281" s="17"/>
      <x:c r="P281" s="17"/>
      <x:c r="Q281" s="17"/>
      <x:c r="R281" s="17"/>
      <x:c r="S281" s="17"/>
      <x:c r="T281" s="17"/>
      <x:c r="U281" s="17"/>
      <x:c r="V281" s="17"/>
      <x:c r="W281" s="17"/>
      <x:c r="X281" s="17"/>
      <x:c r="Y281" s="17"/>
      <x:c r="Z281" s="17"/>
      <x:c r="AA281" s="17"/>
      <x:c r="AB281" s="17"/>
      <x:c r="AC281" s="17"/>
      <x:c r="AD281" s="17"/>
      <x:c r="AE281" s="17"/>
      <x:c r="AF281" s="17"/>
      <x:c r="AG281" s="17"/>
    </x:row>
    <x:row r="282" spans="1:33" hidden="1">
      <x:c r="A282" t="s">
        <x:v>58</x:v>
      </x:c>
      <x:c r="B282" t="s">
        <x:v>277</x:v>
      </x:c>
      <x:c r="C282">
        <x:v>1</x:v>
      </x:c>
      <x:c r="G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</x:row>
    <x:row r="283" spans="1:33" hidden="1">
      <x:c r="A283" t="s">
        <x:v>158</x:v>
      </x:c>
      <x:c r="B283" t="s">
        <x:v>151</x:v>
      </x:c>
      <x:c r="C283">
        <x:v>1</x:v>
      </x:c>
      <x:c r="G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</x:row>
    <x:row r="284" spans="1:33" hidden="1">
      <x:c r="A284" t="s">
        <x:v>342</x:v>
      </x:c>
      <x:c r="B284" t="s">
        <x:v>252</x:v>
      </x:c>
      <x:c r="C284">
        <x:v>1</x:v>
      </x:c>
      <x:c r="G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</x:row>
    <x:row r="285" spans="1:33" hidden="1">
      <x:c r="A285" t="s">
        <x:v>145</x:v>
      </x:c>
      <x:c r="B285" t="s">
        <x:v>252</x:v>
      </x:c>
      <x:c r="C285">
        <x:v>1</x:v>
      </x:c>
      <x:c r="G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</x:row>
    <x:row r="286" spans="1:33" hidden="1">
      <x:c r="A286">
        <x:v>15</x:v>
      </x:c>
      <x:c r="B286" t="s">
        <x:v>241</x:v>
      </x:c>
      <x:c r="C286">
        <x:v>1</x:v>
      </x:c>
      <x:c r="G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</x:row>
    <x:row r="287" spans="1:33" hidden="1">
      <x:c r="A287" t="s">
        <x:v>53</x:v>
      </x:c>
      <x:c r="B287" t="s">
        <x:v>215</x:v>
      </x:c>
      <x:c r="C287">
        <x:v>1</x:v>
      </x:c>
      <x:c r="G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</x:row>
    <x:row r="288" spans="1:33" hidden="1">
      <x:c r="A288" t="s">
        <x:v>324</x:v>
      </x:c>
      <x:c r="B288" t="s">
        <x:v>160</x:v>
      </x:c>
      <x:c r="C288">
        <x:v>1</x:v>
      </x:c>
      <x:c r="G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</x:row>
    <x:row r="289" spans="1:33" hidden="1">
      <x:c r="A289" t="s">
        <x:v>371</x:v>
      </x:c>
      <x:c r="B289" t="s">
        <x:v>160</x:v>
      </x:c>
      <x:c r="C289">
        <x:v>1</x:v>
      </x:c>
      <x:c r="G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</x:row>
    <x:row r="290" spans="1:33" hidden="1">
      <x:c r="A290">
        <x:v>13</x:v>
      </x:c>
      <x:c r="B290" t="s">
        <x:v>241</x:v>
      </x:c>
      <x:c r="C290">
        <x:v>1</x:v>
      </x:c>
      <x:c r="G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</x:row>
    <x:row r="291" spans="1:33" hidden="1">
      <x:c r="A291" t="s">
        <x:v>356</x:v>
      </x:c>
      <x:c r="B291" t="s">
        <x:v>277</x:v>
      </x:c>
      <x:c r="C291">
        <x:v>1</x:v>
      </x:c>
      <x:c r="G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</x:row>
    <x:row r="292" spans="1:33" hidden="1">
      <x:c r="A292" t="s">
        <x:v>36</x:v>
      </x:c>
      <x:c r="B292" t="s">
        <x:v>160</x:v>
      </x:c>
      <x:c r="C292">
        <x:v>1</x:v>
      </x:c>
      <x:c r="G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</x:row>
    <x:row r="293" spans="1:33" s="3" customFormat="1">
      <x:c r="A293" s="3" t="s">
        <x:v>253</x:v>
      </x:c>
      <x:c r="B293" s="3" t="s">
        <x:v>204</x:v>
      </x:c>
      <x:c r="C293" s="3">
        <x:v>1</x:v>
      </x:c>
      <x:c r="D293" s="3" t="s">
        <x:v>309</x:v>
      </x:c>
      <x:c r="E293" s="3">
        <x:f>(C293/315)</x:f>
        <x:v>0.0031746031746031746</x:v>
      </x:c>
      <x:c r="F293" s="1">
        <x:f>E293*915</x:f>
        <x:v>2.9047619047619047</x:v>
      </x:c>
      <x:c r="G293" s="7">
        <x:f>4-F293</x:f>
        <x:v>1.0952380952380953</x:v>
      </x:c>
      <x:c r="H293" s="1">
        <x:f>E293*315</x:f>
        <x:v>1</x:v>
      </x:c>
      <x:c r="I293" s="11">
        <x:f>2-H293</x:f>
        <x:v>1</x:v>
      </x:c>
      <x:c r="J293" s="16"/>
      <x:c r="K293" s="17"/>
      <x:c r="L293" s="17"/>
      <x:c r="M293" s="17"/>
      <x:c r="N293" s="17"/>
      <x:c r="O293" s="17"/>
      <x:c r="P293" s="17"/>
      <x:c r="Q293" s="17"/>
      <x:c r="R293" s="17"/>
      <x:c r="S293" s="17"/>
      <x:c r="T293" s="17"/>
      <x:c r="U293" s="17"/>
      <x:c r="V293" s="17"/>
      <x:c r="W293" s="17"/>
      <x:c r="X293" s="17"/>
      <x:c r="Y293" s="17"/>
      <x:c r="Z293" s="17"/>
      <x:c r="AA293" s="17"/>
      <x:c r="AB293" s="17"/>
      <x:c r="AC293" s="17"/>
      <x:c r="AD293" s="17"/>
      <x:c r="AE293" s="17"/>
      <x:c r="AF293" s="17"/>
      <x:c r="AG293" s="17"/>
    </x:row>
    <x:row r="294" spans="1:33" hidden="1">
      <x:c r="A294" t="s">
        <x:v>115</x:v>
      </x:c>
      <x:c r="B294" t="s">
        <x:v>201</x:v>
      </x:c>
      <x:c r="C294">
        <x:v>1</x:v>
      </x:c>
      <x:c r="G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</x:row>
    <x:row r="295" spans="1:33" hidden="1">
      <x:c r="A295" t="s">
        <x:v>360</x:v>
      </x:c>
      <x:c r="B295" t="s">
        <x:v>203</x:v>
      </x:c>
      <x:c r="C295">
        <x:v>1</x:v>
      </x:c>
      <x:c r="G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</x:row>
    <x:row r="296" spans="1:33" hidden="1">
      <x:c r="A296" t="s">
        <x:v>305</x:v>
      </x:c>
      <x:c r="B296" t="s">
        <x:v>187</x:v>
      </x:c>
      <x:c r="C296">
        <x:v>1</x:v>
      </x:c>
      <x:c r="G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</x:row>
    <x:row r="297" spans="1:33" hidden="1">
      <x:c r="A297" t="s">
        <x:v>131</x:v>
      </x:c>
      <x:c r="B297" t="s">
        <x:v>277</x:v>
      </x:c>
      <x:c r="C297">
        <x:v>1</x:v>
      </x:c>
      <x:c r="G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</x:row>
    <x:row r="298" spans="1:33" hidden="1">
      <x:c r="A298">
        <x:v>50</x:v>
      </x:c>
      <x:c r="B298" t="s">
        <x:v>241</x:v>
      </x:c>
      <x:c r="C298">
        <x:v>1</x:v>
      </x:c>
      <x:c r="G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</x:row>
    <x:row r="299" spans="1:33" hidden="1">
      <x:c r="A299">
        <x:v>120</x:v>
      </x:c>
      <x:c r="B299" t="s">
        <x:v>241</x:v>
      </x:c>
      <x:c r="C299">
        <x:v>1</x:v>
      </x:c>
      <x:c r="G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</x:row>
    <x:row r="300" spans="1:33" hidden="1">
      <x:c r="A300" t="s">
        <x:v>154</x:v>
      </x:c>
      <x:c r="B300" t="s">
        <x:v>252</x:v>
      </x:c>
      <x:c r="C300">
        <x:v>1</x:v>
      </x:c>
      <x:c r="G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</x:row>
    <x:row r="301" spans="1:33" hidden="1">
      <x:c r="A301" t="s">
        <x:v>115</x:v>
      </x:c>
      <x:c r="B301" t="s">
        <x:v>241</x:v>
      </x:c>
      <x:c r="C301">
        <x:v>1</x:v>
      </x:c>
      <x:c r="G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</x:row>
    <x:row r="302" spans="1:33" hidden="1">
      <x:c r="A302">
        <x:v>9</x:v>
      </x:c>
      <x:c r="B302" t="s">
        <x:v>241</x:v>
      </x:c>
      <x:c r="C302">
        <x:v>1</x:v>
      </x:c>
      <x:c r="G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</x:row>
    <x:row r="303" spans="1:33" hidden="1">
      <x:c r="A303" t="s">
        <x:v>317</x:v>
      </x:c>
      <x:c r="B303" t="s">
        <x:v>266</x:v>
      </x:c>
      <x:c r="C303">
        <x:v>1</x:v>
      </x:c>
      <x:c r="G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</x:row>
    <x:row r="304" spans="1:33" hidden="1">
      <x:c r="A304" t="s">
        <x:v>302</x:v>
      </x:c>
      <x:c r="B304" t="s">
        <x:v>223</x:v>
      </x:c>
      <x:c r="C304">
        <x:v>1</x:v>
      </x:c>
      <x:c r="G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</x:row>
    <x:row r="305" spans="1:33" hidden="1">
      <x:c r="A305" t="s">
        <x:v>357</x:v>
      </x:c>
      <x:c r="B305" t="s">
        <x:v>160</x:v>
      </x:c>
      <x:c r="C305">
        <x:v>1</x:v>
      </x:c>
      <x:c r="G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</x:row>
    <x:row r="306" spans="1:33" hidden="1">
      <x:c r="A306" t="s">
        <x:v>310</x:v>
      </x:c>
      <x:c r="B306" t="s">
        <x:v>160</x:v>
      </x:c>
      <x:c r="C306">
        <x:v>1</x:v>
      </x:c>
      <x:c r="G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</x:row>
    <x:row r="307" spans="1:33" hidden="1">
      <x:c r="A307" t="s">
        <x:v>132</x:v>
      </x:c>
      <x:c r="B307" t="s">
        <x:v>259</x:v>
      </x:c>
      <x:c r="C307">
        <x:v>1</x:v>
      </x:c>
      <x:c r="G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</x:row>
    <x:row r="308" spans="1:33" hidden="1">
      <x:c r="A308" t="s">
        <x:v>135</x:v>
      </x:c>
      <x:c r="B308" t="s">
        <x:v>201</x:v>
      </x:c>
      <x:c r="C308">
        <x:v>1</x:v>
      </x:c>
      <x:c r="G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</x:row>
    <x:row r="309" spans="1:33" hidden="1">
      <x:c r="A309" t="s">
        <x:v>140</x:v>
      </x:c>
      <x:c r="B309" t="s">
        <x:v>252</x:v>
      </x:c>
      <x:c r="C309">
        <x:v>1</x:v>
      </x:c>
      <x:c r="G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</x:row>
    <x:row r="310" spans="1:33" hidden="1">
      <x:c r="A310" t="s">
        <x:v>351</x:v>
      </x:c>
      <x:c r="B310" t="s">
        <x:v>215</x:v>
      </x:c>
      <x:c r="C310">
        <x:v>1</x:v>
      </x:c>
      <x:c r="G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</x:row>
    <x:row r="311" spans="1:33" hidden="1">
      <x:c r="A311" t="s">
        <x:v>255</x:v>
      </x:c>
      <x:c r="B311" t="s">
        <x:v>217</x:v>
      </x:c>
      <x:c r="C311">
        <x:v>1</x:v>
      </x:c>
      <x:c r="G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</x:row>
    <x:row r="312" spans="1:33" s="3" customFormat="1">
      <x:c r="A312" s="3" t="s">
        <x:v>32</x:v>
      </x:c>
      <x:c r="B312" s="3" t="s">
        <x:v>204</x:v>
      </x:c>
      <x:c r="C312" s="3">
        <x:v>1</x:v>
      </x:c>
      <x:c r="D312" s="3" t="s">
        <x:v>309</x:v>
      </x:c>
      <x:c r="E312" s="3">
        <x:f>(C312/315)</x:f>
        <x:v>0.0031746031746031746</x:v>
      </x:c>
      <x:c r="F312" s="1">
        <x:f>E312*915</x:f>
        <x:v>2.9047619047619047</x:v>
      </x:c>
      <x:c r="G312" s="7">
        <x:f>2-F312</x:f>
        <x:v>-0.90476190476190466</x:v>
      </x:c>
      <x:c r="H312" s="1">
        <x:f>E312*315</x:f>
        <x:v>1</x:v>
      </x:c>
      <x:c r="I312" s="11">
        <x:f>1-H312</x:f>
        <x:v>0</x:v>
      </x:c>
      <x:c r="J312" s="16"/>
      <x:c r="K312" s="17"/>
      <x:c r="L312" s="17"/>
      <x:c r="M312" s="17"/>
      <x:c r="N312" s="17"/>
      <x:c r="O312" s="17"/>
      <x:c r="P312" s="17"/>
      <x:c r="Q312" s="17"/>
      <x:c r="R312" s="17"/>
      <x:c r="S312" s="17"/>
      <x:c r="T312" s="17"/>
      <x:c r="U312" s="17"/>
      <x:c r="V312" s="17"/>
      <x:c r="W312" s="17"/>
      <x:c r="X312" s="17"/>
      <x:c r="Y312" s="17"/>
      <x:c r="Z312" s="17"/>
      <x:c r="AA312" s="17"/>
      <x:c r="AB312" s="17"/>
      <x:c r="AC312" s="17"/>
      <x:c r="AD312" s="17"/>
      <x:c r="AE312" s="17"/>
      <x:c r="AF312" s="17"/>
      <x:c r="AG312" s="17"/>
    </x:row>
    <x:row r="313" spans="1:33" hidden="1">
      <x:c r="A313" t="s">
        <x:v>94</x:v>
      </x:c>
      <x:c r="B313" t="s">
        <x:v>225</x:v>
      </x:c>
      <x:c r="C313">
        <x:v>1</x:v>
      </x:c>
      <x:c r="G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</x:row>
    <x:row r="314" spans="1:33" hidden="1">
      <x:c r="A314" t="s">
        <x:v>334</x:v>
      </x:c>
      <x:c r="B314" t="s">
        <x:v>160</x:v>
      </x:c>
      <x:c r="C314">
        <x:v>1</x:v>
      </x:c>
      <x:c r="G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</x:row>
    <x:row r="315" spans="1:33" hidden="1">
      <x:c r="A315" t="s">
        <x:v>17</x:v>
      </x:c>
      <x:c r="B315" t="s">
        <x:v>266</x:v>
      </x:c>
      <x:c r="C315">
        <x:v>1</x:v>
      </x:c>
      <x:c r="G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</x:row>
    <x:row r="316" spans="1:33" hidden="1">
      <x:c r="A316" t="s">
        <x:v>349</x:v>
      </x:c>
      <x:c r="B316" t="s">
        <x:v>215</x:v>
      </x:c>
      <x:c r="C316">
        <x:v>1</x:v>
      </x:c>
      <x:c r="G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</x:row>
    <x:row r="317" spans="1:33" hidden="1">
      <x:c r="A317" t="s">
        <x:v>13</x:v>
      </x:c>
      <x:c r="B317" t="s">
        <x:v>227</x:v>
      </x:c>
      <x:c r="C317">
        <x:v>1</x:v>
      </x:c>
      <x:c r="G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</x:row>
    <x:row r="318" spans="1:33" hidden="1">
      <x:c r="A318" t="s">
        <x:v>363</x:v>
      </x:c>
      <x:c r="B318" t="s">
        <x:v>266</x:v>
      </x:c>
      <x:c r="C318">
        <x:v>1</x:v>
      </x:c>
      <x:c r="G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</x:row>
    <x:row r="319" spans="1:33" hidden="1">
      <x:c r="A319" t="s">
        <x:v>354</x:v>
      </x:c>
      <x:c r="B319" t="s">
        <x:v>9</x:v>
      </x:c>
      <x:c r="C319">
        <x:v>1</x:v>
      </x:c>
      <x:c r="G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</x:row>
    <x:row r="320" spans="1:33" s="2" customFormat="1">
      <x:c r="A320" s="2" t="s">
        <x:v>315</x:v>
      </x:c>
      <x:c r="B320" s="2" t="s">
        <x:v>248</x:v>
      </x:c>
      <x:c r="C320" s="2">
        <x:v>1</x:v>
      </x:c>
      <x:c r="D320" s="2" t="s">
        <x:v>18</x:v>
      </x:c>
      <x:c r="E320" s="2">
        <x:f>C320/315</x:f>
        <x:v>0.0031746031746031746</x:v>
      </x:c>
      <x:c r="F320" s="2">
        <x:f>E320*915</x:f>
        <x:v>2.9047619047619047</x:v>
      </x:c>
      <x:c r="G320" s="2">
        <x:f>0-F320</x:f>
        <x:v>-2.9047619047619047</x:v>
      </x:c>
      <x:c r="H320" s="2">
        <x:f>E320*315</x:f>
        <x:v>1</x:v>
      </x:c>
      <x:c r="I320" s="2">
        <x:v>-1</x:v>
      </x:c>
      <x:c r="K320" s="17"/>
      <x:c r="L320" s="17"/>
      <x:c r="M320" s="17"/>
      <x:c r="N320" s="17"/>
      <x:c r="O320" s="17"/>
      <x:c r="P320" s="17"/>
      <x:c r="Q320" s="17"/>
      <x:c r="R320" s="17"/>
      <x:c r="S320" s="17"/>
      <x:c r="T320" s="17"/>
      <x:c r="U320" s="17"/>
      <x:c r="V320" s="17"/>
      <x:c r="W320" s="17"/>
      <x:c r="X320" s="17"/>
      <x:c r="Y320" s="17"/>
      <x:c r="Z320" s="17"/>
      <x:c r="AA320" s="17"/>
      <x:c r="AB320" s="17"/>
      <x:c r="AC320" s="17"/>
      <x:c r="AD320" s="17"/>
      <x:c r="AE320" s="17"/>
      <x:c r="AF320" s="17"/>
      <x:c r="AG320" s="17"/>
    </x:row>
    <x:row r="321" spans="1:33" hidden="1">
      <x:c r="A321" t="s">
        <x:v>306</x:v>
      </x:c>
      <x:c r="B321" t="s">
        <x:v>151</x:v>
      </x:c>
      <x:c r="C321">
        <x:v>1</x:v>
      </x:c>
      <x:c r="G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</x:row>
    <x:row r="322" spans="1:33" hidden="1">
      <x:c r="A322" t="s">
        <x:v>368</x:v>
      </x:c>
      <x:c r="B322" t="s">
        <x:v>9</x:v>
      </x:c>
      <x:c r="C322">
        <x:v>1</x:v>
      </x:c>
      <x:c r="G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</x:row>
    <x:row r="323" spans="1:33" hidden="1">
      <x:c r="A323" t="s">
        <x:v>22</x:v>
      </x:c>
      <x:c r="B323" t="s">
        <x:v>278</x:v>
      </x:c>
      <x:c r="C323">
        <x:v>1</x:v>
      </x:c>
      <x:c r="G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</x:row>
    <x:row r="324" spans="1:33" hidden="1">
      <x:c r="A324" t="s">
        <x:v>7</x:v>
      </x:c>
      <x:c r="B324" t="s">
        <x:v>227</x:v>
      </x:c>
      <x:c r="C324">
        <x:v>1</x:v>
      </x:c>
      <x:c r="G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</x:row>
    <x:row r="325" spans="1:33" hidden="1">
      <x:c r="A325" t="s">
        <x:v>316</x:v>
      </x:c>
      <x:c r="B325" t="s">
        <x:v>9</x:v>
      </x:c>
      <x:c r="C325">
        <x:v>1</x:v>
      </x:c>
      <x:c r="G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</x:row>
    <x:row r="326" spans="1:33" hidden="1">
      <x:c r="A326" t="s">
        <x:v>181</x:v>
      </x:c>
      <x:c r="B326" t="s">
        <x:v>225</x:v>
      </x:c>
      <x:c r="C326">
        <x:v>1</x:v>
      </x:c>
      <x:c r="G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</x:row>
    <x:row r="327" spans="1:33" hidden="1">
      <x:c r="A327" t="s">
        <x:v>100</x:v>
      </x:c>
      <x:c r="B327" t="s">
        <x:v>225</x:v>
      </x:c>
      <x:c r="C327">
        <x:v>1</x:v>
      </x:c>
      <x:c r="G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</x:row>
    <x:row r="328" spans="1:33" hidden="1">
      <x:c r="A328" t="s">
        <x:v>295</x:v>
      </x:c>
      <x:c r="B328" t="s">
        <x:v>151</x:v>
      </x:c>
      <x:c r="C328">
        <x:v>1</x:v>
      </x:c>
      <x:c r="G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</x:row>
    <x:row r="329" spans="1:33" hidden="1">
      <x:c r="A329" t="s">
        <x:v>115</x:v>
      </x:c>
      <x:c r="B329" t="s">
        <x:v>252</x:v>
      </x:c>
      <x:c r="C329">
        <x:v>1</x:v>
      </x:c>
      <x:c r="G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</x:row>
    <x:row r="330" spans="1:33" hidden="1">
      <x:c r="A330" t="s">
        <x:v>43</x:v>
      </x:c>
      <x:c r="B330" t="s">
        <x:v>222</x:v>
      </x:c>
      <x:c r="C330">
        <x:v>1</x:v>
      </x:c>
      <x:c r="G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</x:row>
    <x:row r="331" spans="1:33" hidden="1">
      <x:c r="A331" t="s">
        <x:v>150</x:v>
      </x:c>
      <x:c r="B331" t="s">
        <x:v>217</x:v>
      </x:c>
      <x:c r="C331">
        <x:v>1</x:v>
      </x:c>
      <x:c r="G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</x:row>
    <x:row r="332" spans="1:33" hidden="1">
      <x:c r="A332" t="s">
        <x:v>300</x:v>
      </x:c>
      <x:c r="B332" t="s">
        <x:v>160</x:v>
      </x:c>
      <x:c r="C332">
        <x:v>1</x:v>
      </x:c>
      <x:c r="G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</x:row>
    <x:row r="333" spans="1:33" hidden="1">
      <x:c r="A333" t="s">
        <x:v>263</x:v>
      </x:c>
      <x:c r="B333" t="s">
        <x:v>157</x:v>
      </x:c>
      <x:c r="C333">
        <x:v>1</x:v>
      </x:c>
      <x:c r="G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</x:row>
    <x:row r="334" spans="1:33" hidden="1">
      <x:c r="A334" t="s">
        <x:v>110</x:v>
      </x:c>
      <x:c r="B334" t="s">
        <x:v>165</x:v>
      </x:c>
      <x:c r="C334">
        <x:v>1</x:v>
      </x:c>
      <x:c r="G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</x:row>
    <x:row r="335" spans="1:33" hidden="1">
      <x:c r="A335" t="s">
        <x:v>214</x:v>
      </x:c>
      <x:c r="B335" t="s">
        <x:v>336</x:v>
      </x:c>
      <x:c r="C335">
        <x:v>1</x:v>
      </x:c>
      <x:c r="G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</x:row>
    <x:row r="336" spans="1:33" hidden="1">
      <x:c r="A336" t="s">
        <x:v>335</x:v>
      </x:c>
      <x:c r="B336" t="s">
        <x:v>266</x:v>
      </x:c>
      <x:c r="C336">
        <x:v>1</x:v>
      </x:c>
      <x:c r="G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</x:row>
    <x:row r="337" spans="1:33" hidden="1">
      <x:c r="A337" t="s">
        <x:v>374</x:v>
      </x:c>
      <x:c r="B337" t="s">
        <x:v>215</x:v>
      </x:c>
      <x:c r="C337">
        <x:v>1</x:v>
      </x:c>
      <x:c r="G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</x:row>
    <x:row r="338" spans="1:33" hidden="1">
      <x:c r="A338" t="s">
        <x:v>283</x:v>
      </x:c>
      <x:c r="B338" t="s">
        <x:v>197</x:v>
      </x:c>
      <x:c r="C338">
        <x:v>1</x:v>
      </x:c>
      <x:c r="G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</x:row>
    <x:row r="339" spans="1:33" hidden="1">
      <x:c r="A339">
        <x:v>270</x:v>
      </x:c>
      <x:c r="B339" t="s">
        <x:v>241</x:v>
      </x:c>
      <x:c r="C339">
        <x:v>1</x:v>
      </x:c>
      <x:c r="G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</x:row>
    <x:row r="340" spans="1:33" hidden="1">
      <x:c r="A340" t="s">
        <x:v>11</x:v>
      </x:c>
      <x:c r="B340" t="s">
        <x:v>277</x:v>
      </x:c>
      <x:c r="C340">
        <x:v>1</x:v>
      </x:c>
      <x:c r="G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</x:row>
    <x:row r="341" spans="1:33" hidden="1">
      <x:c r="A341" t="s">
        <x:v>100</x:v>
      </x:c>
      <x:c r="B341" t="s">
        <x:v>277</x:v>
      </x:c>
      <x:c r="C341">
        <x:v>1</x:v>
      </x:c>
      <x:c r="G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</x:row>
    <x:row r="342" spans="1:33" s="2" customFormat="1">
      <x:c r="A342" s="2" t="s">
        <x:v>29</x:v>
      </x:c>
      <x:c r="B342" s="2" t="s">
        <x:v>248</x:v>
      </x:c>
      <x:c r="C342" s="2">
        <x:v>1</x:v>
      </x:c>
      <x:c r="D342" s="2" t="s">
        <x:v>18</x:v>
      </x:c>
      <x:c r="E342" s="2">
        <x:f>C342/315</x:f>
        <x:v>0.0031746031746031746</x:v>
      </x:c>
      <x:c r="F342" s="2">
        <x:f>E342*915</x:f>
        <x:v>2.9047619047619047</x:v>
      </x:c>
      <x:c r="G342" s="2">
        <x:f>3-F342</x:f>
        <x:v>0.095238095238095344</x:v>
      </x:c>
      <x:c r="H342" s="2">
        <x:f>E342*315</x:f>
        <x:v>1</x:v>
      </x:c>
      <x:c r="I342" s="2">
        <x:f>3-1</x:f>
        <x:v>2</x:v>
      </x:c>
      <x:c r="K342" s="17"/>
      <x:c r="L342" s="17"/>
      <x:c r="M342" s="17"/>
      <x:c r="N342" s="17"/>
      <x:c r="O342" s="17"/>
      <x:c r="P342" s="17"/>
      <x:c r="Q342" s="17"/>
      <x:c r="R342" s="17"/>
      <x:c r="S342" s="17"/>
      <x:c r="T342" s="17"/>
      <x:c r="U342" s="17"/>
      <x:c r="V342" s="17"/>
      <x:c r="W342" s="17"/>
      <x:c r="X342" s="17"/>
      <x:c r="Y342" s="17"/>
      <x:c r="Z342" s="17"/>
      <x:c r="AA342" s="17"/>
      <x:c r="AB342" s="17"/>
      <x:c r="AC342" s="17"/>
      <x:c r="AD342" s="17"/>
      <x:c r="AE342" s="17"/>
      <x:c r="AF342" s="17"/>
      <x:c r="AG342" s="17"/>
    </x:row>
    <x:row r="343" spans="1:33" hidden="1">
      <x:c r="A343" t="s">
        <x:v>66</x:v>
      </x:c>
      <x:c r="B343" t="s">
        <x:v>187</x:v>
      </x:c>
      <x:c r="C343">
        <x:v>1</x:v>
      </x:c>
      <x:c r="G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</x:row>
    <x:row r="344" spans="1:33" hidden="1">
      <x:c r="A344" t="s">
        <x:v>369</x:v>
      </x:c>
      <x:c r="B344" t="s">
        <x:v>215</x:v>
      </x:c>
      <x:c r="C344">
        <x:v>1</x:v>
      </x:c>
      <x:c r="G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</x:row>
    <x:row r="345" spans="1:33" hidden="1">
      <x:c r="A345">
        <x:v>66</x:v>
      </x:c>
      <x:c r="B345" t="s">
        <x:v>241</x:v>
      </x:c>
      <x:c r="C345">
        <x:v>1</x:v>
      </x:c>
      <x:c r="G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</x:row>
    <x:row r="346" spans="1:33" hidden="1">
      <x:c r="A346">
        <x:v>5800</x:v>
      </x:c>
      <x:c r="B346" t="s">
        <x:v>241</x:v>
      </x:c>
      <x:c r="C346">
        <x:v>1</x:v>
      </x:c>
      <x:c r="G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</x:row>
    <x:row r="347" spans="1:33" hidden="1">
      <x:c r="A347">
        <x:v>17</x:v>
      </x:c>
      <x:c r="B347" t="s">
        <x:v>241</x:v>
      </x:c>
      <x:c r="C347">
        <x:v>1</x:v>
      </x:c>
      <x:c r="G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</x:row>
    <x:row r="348" spans="1:33" hidden="1">
      <x:c r="A348" t="s">
        <x:v>294</x:v>
      </x:c>
      <x:c r="B348" t="s">
        <x:v>241</x:v>
      </x:c>
      <x:c r="C348">
        <x:v>1</x:v>
      </x:c>
      <x:c r="G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</x:row>
    <x:row r="349" spans="1:33" hidden="1">
      <x:c r="A349" t="s">
        <x:v>370</x:v>
      </x:c>
      <x:c r="B349" t="s">
        <x:v>9</x:v>
      </x:c>
      <x:c r="C349">
        <x:v>1</x:v>
      </x:c>
      <x:c r="G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</x:row>
    <x:row r="350" spans="1:33" hidden="1">
      <x:c r="A350" t="s">
        <x:v>345</x:v>
      </x:c>
      <x:c r="B350" t="s">
        <x:v>203</x:v>
      </x:c>
      <x:c r="C350">
        <x:v>1</x:v>
      </x:c>
      <x:c r="G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</x:row>
    <x:row r="351" spans="1:33" hidden="1">
      <x:c r="A351" t="s">
        <x:v>293</x:v>
      </x:c>
      <x:c r="B351" t="s">
        <x:v>151</x:v>
      </x:c>
      <x:c r="C351">
        <x:v>1</x:v>
      </x:c>
      <x:c r="G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</x:row>
    <x:row r="352" spans="1:33" hidden="1">
      <x:c r="A352">
        <x:v>105</x:v>
      </x:c>
      <x:c r="B352" t="s">
        <x:v>241</x:v>
      </x:c>
      <x:c r="C352">
        <x:v>1</x:v>
      </x:c>
      <x:c r="G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</x:row>
    <x:row r="353" spans="1:33" hidden="1">
      <x:c r="A353" t="s">
        <x:v>364</x:v>
      </x:c>
      <x:c r="B353" t="s">
        <x:v>9</x:v>
      </x:c>
      <x:c r="C353">
        <x:v>1</x:v>
      </x:c>
      <x:c r="G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</x:row>
    <x:row r="354" spans="1:33" s="3" customFormat="1">
      <x:c r="A354" s="3" t="s">
        <x:v>144</x:v>
      </x:c>
      <x:c r="B354" s="3" t="s">
        <x:v>248</x:v>
      </x:c>
      <x:c r="C354" s="3">
        <x:v>1</x:v>
      </x:c>
      <x:c r="D354" s="3" t="s">
        <x:v>309</x:v>
      </x:c>
      <x:c r="E354" s="3">
        <x:f>C354/315</x:f>
        <x:v>0.0031746031746031746</x:v>
      </x:c>
      <x:c r="F354" s="3">
        <x:f t="shared" ref="F354:F356" si="35">E354*915</x:f>
        <x:v>2.9047619047619047</x:v>
      </x:c>
      <x:c r="G354" s="3">
        <x:f>4-F354</x:f>
        <x:v>1.0952380952380953</x:v>
      </x:c>
      <x:c r="H354" s="3">
        <x:f t="shared" ref="H354:H356" si="36">E354*315</x:f>
        <x:v>1</x:v>
      </x:c>
      <x:c r="I354" s="3">
        <x:v>0</x:v>
      </x:c>
      <x:c r="K354" s="17"/>
      <x:c r="L354" s="17"/>
      <x:c r="M354" s="17"/>
      <x:c r="N354" s="17"/>
      <x:c r="O354" s="17"/>
      <x:c r="P354" s="17"/>
      <x:c r="Q354" s="17"/>
      <x:c r="R354" s="17"/>
      <x:c r="S354" s="17"/>
      <x:c r="T354" s="17"/>
      <x:c r="U354" s="17"/>
      <x:c r="V354" s="17"/>
      <x:c r="W354" s="17"/>
      <x:c r="X354" s="17"/>
      <x:c r="Y354" s="17"/>
      <x:c r="Z354" s="17"/>
      <x:c r="AA354" s="17"/>
      <x:c r="AB354" s="17"/>
      <x:c r="AC354" s="17"/>
      <x:c r="AD354" s="17"/>
      <x:c r="AE354" s="17"/>
      <x:c r="AF354" s="17"/>
      <x:c r="AG354" s="17"/>
    </x:row>
    <x:row r="355" spans="1:33" s="2" customFormat="1">
      <x:c r="A355" s="2" t="s">
        <x:v>346</x:v>
      </x:c>
      <x:c r="B355" s="2" t="s">
        <x:v>204</x:v>
      </x:c>
      <x:c r="C355" s="2">
        <x:v>1</x:v>
      </x:c>
      <x:c r="D355" s="2" t="s">
        <x:v>18</x:v>
      </x:c>
      <x:c r="E355" s="2">
        <x:f t="shared" ref="E355:E356" si="37">(C355/315)</x:f>
        <x:v>0.0031746031746031746</x:v>
      </x:c>
      <x:c r="F355" s="1">
        <x:f t="shared" si="35"/>
        <x:v>2.9047619047619047</x:v>
      </x:c>
      <x:c r="G355" s="6">
        <x:f>0-F355</x:f>
        <x:v>-2.9047619047619047</x:v>
      </x:c>
      <x:c r="H355" s="1">
        <x:f t="shared" si="36"/>
        <x:v>1</x:v>
      </x:c>
      <x:c r="I355" s="10">
        <x:f>0-H355</x:f>
        <x:v>-1</x:v>
      </x:c>
      <x:c r="J355" s="15"/>
      <x:c r="K355" s="17"/>
      <x:c r="L355" s="17"/>
      <x:c r="M355" s="17"/>
      <x:c r="N355" s="17"/>
      <x:c r="O355" s="17"/>
      <x:c r="P355" s="17"/>
      <x:c r="Q355" s="17"/>
      <x:c r="R355" s="17"/>
      <x:c r="S355" s="17"/>
      <x:c r="T355" s="17"/>
      <x:c r="U355" s="17"/>
      <x:c r="V355" s="17"/>
      <x:c r="W355" s="17"/>
      <x:c r="X355" s="17"/>
      <x:c r="Y355" s="17"/>
      <x:c r="Z355" s="17"/>
      <x:c r="AA355" s="17"/>
      <x:c r="AB355" s="17"/>
      <x:c r="AC355" s="17"/>
      <x:c r="AD355" s="17"/>
      <x:c r="AE355" s="17"/>
      <x:c r="AF355" s="17"/>
      <x:c r="AG355" s="17"/>
    </x:row>
    <x:row r="356" spans="1:33" s="2" customFormat="1">
      <x:c r="A356" s="2" t="s">
        <x:v>352</x:v>
      </x:c>
      <x:c r="B356" s="2" t="s">
        <x:v>204</x:v>
      </x:c>
      <x:c r="C356" s="2">
        <x:v>1</x:v>
      </x:c>
      <x:c r="D356" s="2" t="s">
        <x:v>18</x:v>
      </x:c>
      <x:c r="E356" s="2">
        <x:f t="shared" si="37"/>
        <x:v>0.0031746031746031746</x:v>
      </x:c>
      <x:c r="F356" s="1">
        <x:f t="shared" si="35"/>
        <x:v>2.9047619047619047</x:v>
      </x:c>
      <x:c r="G356" s="6">
        <x:f>0-F356</x:f>
        <x:v>-2.9047619047619047</x:v>
      </x:c>
      <x:c r="H356" s="1">
        <x:f t="shared" si="36"/>
        <x:v>1</x:v>
      </x:c>
      <x:c r="I356" s="10">
        <x:f>0-H356</x:f>
        <x:v>-1</x:v>
      </x:c>
      <x:c r="J356" s="15"/>
      <x:c r="K356" s="17"/>
      <x:c r="L356" s="17"/>
      <x:c r="M356" s="17"/>
      <x:c r="N356" s="17"/>
      <x:c r="O356" s="17"/>
      <x:c r="P356" s="17"/>
      <x:c r="Q356" s="17"/>
      <x:c r="R356" s="17"/>
      <x:c r="S356" s="17"/>
      <x:c r="T356" s="17"/>
      <x:c r="U356" s="17"/>
      <x:c r="V356" s="17"/>
      <x:c r="W356" s="17"/>
      <x:c r="X356" s="17"/>
      <x:c r="Y356" s="17"/>
      <x:c r="Z356" s="17"/>
      <x:c r="AA356" s="17"/>
      <x:c r="AB356" s="17"/>
      <x:c r="AC356" s="17"/>
      <x:c r="AD356" s="17"/>
      <x:c r="AE356" s="17"/>
      <x:c r="AF356" s="17"/>
      <x:c r="AG356" s="17"/>
    </x:row>
    <x:row r="357" spans="1:33" hidden="1">
      <x:c r="A357" t="s">
        <x:v>65</x:v>
      </x:c>
      <x:c r="B357" t="s">
        <x:v>215</x:v>
      </x:c>
      <x:c r="C357">
        <x:v>1</x:v>
      </x:c>
      <x:c r="G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</x:row>
    <x:row r="358" spans="1:33" hidden="1">
      <x:c r="A358" t="s">
        <x:v>279</x:v>
      </x:c>
      <x:c r="B358" t="s">
        <x:v>201</x:v>
      </x:c>
      <x:c r="C358">
        <x:v>1</x:v>
      </x:c>
      <x:c r="G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</x:row>
    <x:row r="359" spans="1:33" s="3" customFormat="1">
      <x:c r="A359" s="3" t="s">
        <x:v>114</x:v>
      </x:c>
      <x:c r="B359" s="3" t="s">
        <x:v>204</x:v>
      </x:c>
      <x:c r="C359" s="3">
        <x:v>1</x:v>
      </x:c>
      <x:c r="D359" s="3" t="s">
        <x:v>309</x:v>
      </x:c>
      <x:c r="E359" s="3">
        <x:f t="shared" ref="E359:E360" si="38">(C359/315)</x:f>
        <x:v>0.0031746031746031746</x:v>
      </x:c>
      <x:c r="F359" s="1">
        <x:f t="shared" ref="F359:F361" si="39">E359*915</x:f>
        <x:v>2.9047619047619047</x:v>
      </x:c>
      <x:c r="G359" s="7">
        <x:f>8-F359</x:f>
        <x:v>5.0952380952380949</x:v>
      </x:c>
      <x:c r="H359" s="1">
        <x:f t="shared" ref="H359:H361" si="40">E359*315</x:f>
        <x:v>1</x:v>
      </x:c>
      <x:c r="I359" s="11">
        <x:f>3-H359</x:f>
        <x:v>2</x:v>
      </x:c>
      <x:c r="J359" s="16"/>
      <x:c r="K359" s="17"/>
      <x:c r="L359" s="17"/>
      <x:c r="M359" s="17"/>
      <x:c r="N359" s="17"/>
      <x:c r="O359" s="17"/>
      <x:c r="P359" s="17"/>
      <x:c r="Q359" s="17"/>
      <x:c r="R359" s="17"/>
      <x:c r="S359" s="17"/>
      <x:c r="T359" s="17"/>
      <x:c r="U359" s="17"/>
      <x:c r="V359" s="17"/>
      <x:c r="W359" s="17"/>
      <x:c r="X359" s="17"/>
      <x:c r="Y359" s="17"/>
      <x:c r="Z359" s="17"/>
      <x:c r="AA359" s="17"/>
      <x:c r="AB359" s="17"/>
      <x:c r="AC359" s="17"/>
      <x:c r="AD359" s="17"/>
      <x:c r="AE359" s="17"/>
      <x:c r="AF359" s="17"/>
      <x:c r="AG359" s="17"/>
    </x:row>
    <x:row r="360" spans="1:33" s="2" customFormat="1">
      <x:c r="A360" s="2" t="s">
        <x:v>286</x:v>
      </x:c>
      <x:c r="B360" s="2" t="s">
        <x:v>204</x:v>
      </x:c>
      <x:c r="C360" s="2">
        <x:v>1</x:v>
      </x:c>
      <x:c r="D360" s="2" t="s">
        <x:v>18</x:v>
      </x:c>
      <x:c r="E360" s="2">
        <x:f t="shared" si="38"/>
        <x:v>0.0031746031746031746</x:v>
      </x:c>
      <x:c r="F360" s="1">
        <x:f t="shared" si="39"/>
        <x:v>2.9047619047619047</x:v>
      </x:c>
      <x:c r="G360" s="6">
        <x:f>1-F360</x:f>
        <x:v>-1.9047619047619047</x:v>
      </x:c>
      <x:c r="H360" s="1">
        <x:f t="shared" si="40"/>
        <x:v>1</x:v>
      </x:c>
      <x:c r="I360" s="10">
        <x:f>0-H360</x:f>
        <x:v>-1</x:v>
      </x:c>
      <x:c r="J360" s="15"/>
      <x:c r="K360" s="17"/>
      <x:c r="L360" s="17"/>
      <x:c r="M360" s="17"/>
      <x:c r="N360" s="17"/>
      <x:c r="O360" s="17"/>
      <x:c r="P360" s="17"/>
      <x:c r="Q360" s="17"/>
      <x:c r="R360" s="17"/>
      <x:c r="S360" s="17"/>
      <x:c r="T360" s="17"/>
      <x:c r="U360" s="17"/>
      <x:c r="V360" s="17"/>
      <x:c r="W360" s="17"/>
      <x:c r="X360" s="17"/>
      <x:c r="Y360" s="17"/>
      <x:c r="Z360" s="17"/>
      <x:c r="AA360" s="17"/>
      <x:c r="AB360" s="17"/>
      <x:c r="AC360" s="17"/>
      <x:c r="AD360" s="17"/>
      <x:c r="AE360" s="17"/>
      <x:c r="AF360" s="17"/>
      <x:c r="AG360" s="17"/>
    </x:row>
    <x:row r="361" spans="1:33" s="3" customFormat="1">
      <x:c r="A361" s="3" t="s">
        <x:v>249</x:v>
      </x:c>
      <x:c r="B361" s="3" t="s">
        <x:v>248</x:v>
      </x:c>
      <x:c r="C361" s="3">
        <x:v>1</x:v>
      </x:c>
      <x:c r="D361" s="3" t="s">
        <x:v>309</x:v>
      </x:c>
      <x:c r="E361" s="3">
        <x:f>C361/315</x:f>
        <x:v>0.0031746031746031746</x:v>
      </x:c>
      <x:c r="F361" s="3">
        <x:f t="shared" si="39"/>
        <x:v>2.9047619047619047</x:v>
      </x:c>
      <x:c r="G361" s="3">
        <x:f>2-F361</x:f>
        <x:v>-0.90476190476190466</x:v>
      </x:c>
      <x:c r="H361" s="3">
        <x:f t="shared" si="40"/>
        <x:v>1</x:v>
      </x:c>
      <x:c r="I361" s="3">
        <x:v>-1</x:v>
      </x:c>
      <x:c r="K361" s="17"/>
      <x:c r="L361" s="17"/>
      <x:c r="M361" s="17"/>
      <x:c r="N361" s="17"/>
      <x:c r="O361" s="17"/>
      <x:c r="P361" s="17"/>
      <x:c r="Q361" s="17"/>
      <x:c r="R361" s="17"/>
      <x:c r="S361" s="17"/>
      <x:c r="T361" s="17"/>
      <x:c r="U361" s="17"/>
      <x:c r="V361" s="17"/>
      <x:c r="W361" s="17"/>
      <x:c r="X361" s="17"/>
      <x:c r="Y361" s="17"/>
      <x:c r="Z361" s="17"/>
      <x:c r="AA361" s="17"/>
      <x:c r="AB361" s="17"/>
      <x:c r="AC361" s="17"/>
      <x:c r="AD361" s="17"/>
      <x:c r="AE361" s="17"/>
      <x:c r="AF361" s="17"/>
      <x:c r="AG361" s="17"/>
    </x:row>
    <x:row r="362" spans="1:33" hidden="1">
      <x:c r="A362" t="s">
        <x:v>267</x:v>
      </x:c>
      <x:c r="B362" t="s">
        <x:v>266</x:v>
      </x:c>
      <x:c r="C362">
        <x:v>1</x:v>
      </x:c>
      <x:c r="G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</x:row>
    <x:row r="363" spans="1:33" hidden="1">
      <x:c r="A363" t="s">
        <x:v>193</x:v>
      </x:c>
      <x:c r="B363" t="s">
        <x:v>225</x:v>
      </x:c>
      <x:c r="C363">
        <x:v>1</x:v>
      </x:c>
      <x:c r="G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</x:row>
    <x:row r="364" spans="1:33" hidden="1">
      <x:c r="A364" t="s">
        <x:v>163</x:v>
      </x:c>
      <x:c r="B364" t="s">
        <x:v>77</x:v>
      </x:c>
      <x:c r="C364">
        <x:v>1</x:v>
      </x:c>
      <x:c r="G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</x:row>
    <x:row r="365" spans="1:33" hidden="1">
      <x:c r="A365" t="s">
        <x:v>143</x:v>
      </x:c>
      <x:c r="B365" t="s">
        <x:v>266</x:v>
      </x:c>
      <x:c r="C365">
        <x:v>1</x:v>
      </x:c>
      <x:c r="G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</x:row>
    <x:row r="366" spans="1:33" hidden="1">
      <x:c r="A366" t="s">
        <x:v>136</x:v>
      </x:c>
      <x:c r="B366" t="s">
        <x:v>217</x:v>
      </x:c>
      <x:c r="C366">
        <x:v>1</x:v>
      </x:c>
      <x:c r="G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</x:row>
    <x:row r="367" spans="1:33" hidden="1">
      <x:c r="A367" t="s">
        <x:v>361</x:v>
      </x:c>
      <x:c r="B367" t="s">
        <x:v>151</x:v>
      </x:c>
      <x:c r="C367">
        <x:v>1</x:v>
      </x:c>
      <x:c r="G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</x:row>
    <x:row r="368" spans="1:33" s="3" customFormat="1">
      <x:c r="A368" s="3" t="s">
        <x:v>44</x:v>
      </x:c>
      <x:c r="B368" s="3" t="s">
        <x:v>204</x:v>
      </x:c>
      <x:c r="C368" s="3">
        <x:v>1</x:v>
      </x:c>
      <x:c r="D368" s="3" t="s">
        <x:v>309</x:v>
      </x:c>
      <x:c r="E368" s="3">
        <x:f>(C368/315)</x:f>
        <x:v>0.0031746031746031746</x:v>
      </x:c>
      <x:c r="F368" s="1">
        <x:f>E368*915</x:f>
        <x:v>2.9047619047619047</x:v>
      </x:c>
      <x:c r="G368" s="7">
        <x:f>3-F368</x:f>
        <x:v>0.095238095238095344</x:v>
      </x:c>
      <x:c r="H368" s="1">
        <x:f>E368*315</x:f>
        <x:v>1</x:v>
      </x:c>
      <x:c r="I368" s="11">
        <x:f>2-H368</x:f>
        <x:v>1</x:v>
      </x:c>
      <x:c r="J368" s="16"/>
      <x:c r="K368" s="17"/>
      <x:c r="L368" s="17"/>
      <x:c r="M368" s="17"/>
      <x:c r="N368" s="17"/>
      <x:c r="O368" s="17"/>
      <x:c r="P368" s="17"/>
      <x:c r="Q368" s="17"/>
      <x:c r="R368" s="17"/>
      <x:c r="S368" s="17"/>
      <x:c r="T368" s="17"/>
      <x:c r="U368" s="17"/>
      <x:c r="V368" s="17"/>
      <x:c r="W368" s="17"/>
      <x:c r="X368" s="17"/>
      <x:c r="Y368" s="17"/>
      <x:c r="Z368" s="17"/>
      <x:c r="AA368" s="17"/>
      <x:c r="AB368" s="17"/>
      <x:c r="AC368" s="17"/>
      <x:c r="AD368" s="17"/>
      <x:c r="AE368" s="17"/>
      <x:c r="AF368" s="17"/>
      <x:c r="AG368" s="17"/>
    </x:row>
    <x:row r="369" spans="1:33" hidden="1">
      <x:c r="A369" t="s">
        <x:v>97</x:v>
      </x:c>
      <x:c r="B369" t="s">
        <x:v>266</x:v>
      </x:c>
      <x:c r="C369">
        <x:v>1</x:v>
      </x:c>
      <x:c r="G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</x:row>
    <x:row r="370" spans="1:33" hidden="1">
      <x:c r="A370" t="s">
        <x:v>92</x:v>
      </x:c>
      <x:c r="B370" t="s">
        <x:v>278</x:v>
      </x:c>
      <x:c r="C370">
        <x:v>1</x:v>
      </x:c>
      <x:c r="G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</x:row>
    <x:row r="371" spans="1:33" hidden="1">
      <x:c r="A371" t="s">
        <x:v>262</x:v>
      </x:c>
      <x:c r="B371" t="s">
        <x:v>266</x:v>
      </x:c>
      <x:c r="C371">
        <x:v>1</x:v>
      </x:c>
      <x:c r="G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</x:row>
    <x:row r="372" spans="1:33" hidden="1">
      <x:c r="A372" t="s">
        <x:v>307</x:v>
      </x:c>
      <x:c r="B372" t="s">
        <x:v>266</x:v>
      </x:c>
      <x:c r="C372">
        <x:v>1</x:v>
      </x:c>
      <x:c r="G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</x:row>
    <x:row r="373" spans="1:33" hidden="1">
      <x:c r="A373" t="s">
        <x:v>99</x:v>
      </x:c>
      <x:c r="B373" t="s">
        <x:v>197</x:v>
      </x:c>
      <x:c r="C373">
        <x:v>1</x:v>
      </x:c>
      <x:c r="G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</x:row>
    <x:row r="374" spans="1:33" hidden="1">
      <x:c r="A374" t="s">
        <x:v>141</x:v>
      </x:c>
      <x:c r="B374" t="s">
        <x:v>215</x:v>
      </x:c>
      <x:c r="C374">
        <x:v>1</x:v>
      </x:c>
      <x:c r="G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</x:row>
    <x:row r="375" spans="1:33" hidden="1">
      <x:c r="A375" t="s">
        <x:v>93</x:v>
      </x:c>
      <x:c r="B375" t="s">
        <x:v>201</x:v>
      </x:c>
      <x:c r="C375">
        <x:v>1</x:v>
      </x:c>
      <x:c r="G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</x:row>
    <x:row r="376" spans="1:33" hidden="1">
      <x:c r="A376" t="s">
        <x:v>101</x:v>
      </x:c>
      <x:c r="B376" t="s">
        <x:v>225</x:v>
      </x:c>
      <x:c r="C376">
        <x:v>1</x:v>
      </x:c>
      <x:c r="G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</x:row>
    <x:row r="377" spans="1:33" hidden="1">
      <x:c r="A377" t="s">
        <x:v>8</x:v>
      </x:c>
      <x:c r="B377" t="s">
        <x:v>157</x:v>
      </x:c>
      <x:c r="C377">
        <x:v>1</x:v>
      </x:c>
      <x:c r="G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</x:row>
    <x:row r="378" spans="1:33" hidden="1">
      <x:c r="A378" t="s">
        <x:v>113</x:v>
      </x:c>
      <x:c r="B378" t="s">
        <x:v>201</x:v>
      </x:c>
      <x:c r="C378">
        <x:v>1</x:v>
      </x:c>
      <x:c r="G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</x:row>
    <x:row r="379" spans="1:33" hidden="1">
      <x:c r="A379" t="s">
        <x:v>329</x:v>
      </x:c>
      <x:c r="B379" t="s">
        <x:v>160</x:v>
      </x:c>
      <x:c r="C379">
        <x:v>1</x:v>
      </x:c>
      <x:c r="G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</x:row>
    <x:row r="380" spans="1:33" hidden="1">
      <x:c r="A380" t="s">
        <x:v>70</x:v>
      </x:c>
      <x:c r="B380" t="s">
        <x:v>157</x:v>
      </x:c>
      <x:c r="C380">
        <x:v>1</x:v>
      </x:c>
      <x:c r="G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</x:row>
    <x:row r="381" spans="1:33" hidden="1">
      <x:c r="A381" t="s">
        <x:v>86</x:v>
      </x:c>
      <x:c r="B381" t="s">
        <x:v>266</x:v>
      </x:c>
      <x:c r="C381">
        <x:v>1</x:v>
      </x:c>
      <x:c r="G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</x:row>
    <x:row r="382" spans="1:33" hidden="1">
      <x:c r="A382" t="s">
        <x:v>120</x:v>
      </x:c>
      <x:c r="B382" t="s">
        <x:v>277</x:v>
      </x:c>
      <x:c r="C382">
        <x:v>1</x:v>
      </x:c>
      <x:c r="G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</x:row>
    <x:row r="383" spans="1:33" hidden="1">
      <x:c r="A383">
        <x:v>20</x:v>
      </x:c>
      <x:c r="B383" t="s">
        <x:v>241</x:v>
      </x:c>
      <x:c r="C383">
        <x:v>1</x:v>
      </x:c>
      <x:c r="G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</x:row>
    <x:row r="384" spans="1:33" hidden="1">
      <x:c r="A384" t="s">
        <x:v>54</x:v>
      </x:c>
      <x:c r="B384" t="s">
        <x:v>160</x:v>
      </x:c>
      <x:c r="C384">
        <x:v>1</x:v>
      </x:c>
      <x:c r="G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</x:row>
    <x:row r="385" spans="1:33" hidden="1">
      <x:c r="A385">
        <x:v>1361</x:v>
      </x:c>
      <x:c r="B385" t="s">
        <x:v>241</x:v>
      </x:c>
      <x:c r="C385">
        <x:v>1</x:v>
      </x:c>
      <x:c r="G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</x:row>
    <x:row r="386" spans="1:10">
      <x:c r="A386" t="s">
        <x:v>358</x:v>
      </x:c>
      <x:c r="B386" t="s">
        <x:v>248</x:v>
      </x:c>
      <x:c r="C386">
        <x:v>1</x:v>
      </x:c>
      <x:c r="D386" t="s">
        <x:v>14</x:v>
      </x:c>
      <x:c r="E386">
        <x:f>C386/315</x:f>
        <x:v>0.0031746031746031746</x:v>
      </x:c>
      <x:c r="F386" s="1">
        <x:f>E386*915</x:f>
        <x:v>2.9047619047619047</x:v>
      </x:c>
      <x:c r="G386">
        <x:f>0-F386</x:f>
        <x:v>-2.9047619047619047</x:v>
      </x:c>
      <x:c r="H386" s="1">
        <x:f>E386*315</x:f>
        <x:v>1</x:v>
      </x:c>
      <x:c r="I386">
        <x:v>-1</x:v>
      </x:c>
      <x:c r="J386"/>
    </x:row>
    <x:row r="387" spans="1:33" hidden="1">
      <x:c r="A387" t="s">
        <x:v>45</x:v>
      </x:c>
      <x:c r="B387" t="s">
        <x:v>225</x:v>
      </x:c>
      <x:c r="C387">
        <x:v>1</x:v>
      </x:c>
      <x:c r="G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</x:row>
    <x:row r="388" spans="1:33" hidden="1">
      <x:c r="A388" t="s">
        <x:v>291</x:v>
      </x:c>
      <x:c r="B388" t="s">
        <x:v>266</x:v>
      </x:c>
      <x:c r="C388">
        <x:v>1</x:v>
      </x:c>
      <x:c r="G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</x:row>
    <x:row r="389" spans="1:33" hidden="1">
      <x:c r="A389" t="s">
        <x:v>353</x:v>
      </x:c>
      <x:c r="B389" t="s">
        <x:v>112</x:v>
      </x:c>
      <x:c r="C389">
        <x:v>1</x:v>
      </x:c>
      <x:c r="G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</x:row>
    <x:row r="390" spans="1:33" hidden="1">
      <x:c r="A390" t="s">
        <x:v>308</x:v>
      </x:c>
      <x:c r="B390" t="s">
        <x:v>151</x:v>
      </x:c>
      <x:c r="C390">
        <x:v>1</x:v>
      </x:c>
      <x:c r="G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</x:row>
    <x:row r="391" spans="1:33" hidden="1">
      <x:c r="A391" t="s">
        <x:v>355</x:v>
      </x:c>
      <x:c r="B391" t="s">
        <x:v>160</x:v>
      </x:c>
      <x:c r="C391">
        <x:v>1</x:v>
      </x:c>
      <x:c r="G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</x:row>
    <x:row r="392" spans="1:33" hidden="1">
      <x:c r="A392" t="s">
        <x:v>250</x:v>
      </x:c>
      <x:c r="B392" t="s">
        <x:v>225</x:v>
      </x:c>
      <x:c r="C392">
        <x:v>1</x:v>
      </x:c>
      <x:c r="G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</x:row>
  </x:sheetData>
  <x:autoFilter ref="B1:B392">
    <x:filterColumn colId="0">
      <x:filters>
        <x:filter val="NNG"/>
        <x:filter val="VV"/>
      </x:filters>
    </x:filterColumn>
  </x:autoFilter>
  <x:mergeCells count="3">
    <x:mergeCell ref="K31:K38"/>
    <x:mergeCell ref="K65:K71"/>
    <x:mergeCell ref="K88:K89"/>
  </x:mergeCells>
  <x:pageMargins left="0.74805557727813720703" right="0.74805557727813720703" top="0.98430556058883666992" bottom="0.98430556058883666992" header="0.51138889789581298828" footer="0.51138889789581298828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F24:I27"/>
  <x:sheetViews>
    <x:sheetView topLeftCell="A1" zoomScaleNormal="75" zoomScaleSheetLayoutView="100" workbookViewId="0">
      <x:selection activeCell="F24" activeCellId="0" sqref="F24:J27"/>
    </x:sheetView>
  </x:sheetViews>
  <x:sheetFormatPr defaultColWidth="8.66015625" defaultRowHeight="16.39999999999999857891"/>
  <x:sheetData>
    <x:row r="24" spans="6:9">
      <x:c r="F24" t="s">
        <x:v>385</x:v>
      </x:c>
      <x:c r="G24" t="s">
        <x:v>386</x:v>
      </x:c>
      <x:c r="H24" t="s">
        <x:v>392</x:v>
      </x:c>
      <x:c r="I24" t="s">
        <x:v>383</x:v>
      </x:c>
    </x:row>
    <x:row r="25" spans="6:9">
      <x:c r="F25" t="s">
        <x:v>391</x:v>
      </x:c>
      <x:c r="G25" t="s">
        <x:v>388</x:v>
      </x:c>
      <x:c r="H25" t="s">
        <x:v>381</x:v>
      </x:c>
      <x:c r="I25" t="s">
        <x:v>389</x:v>
      </x:c>
    </x:row>
    <x:row r="26" spans="6:9">
      <x:c r="F26" t="s">
        <x:v>393</x:v>
      </x:c>
      <x:c r="G26" t="s">
        <x:v>388</x:v>
      </x:c>
      <x:c r="H26" t="s">
        <x:v>384</x:v>
      </x:c>
      <x:c r="I26" t="s">
        <x:v>382</x:v>
      </x:c>
    </x:row>
    <x:row r="27" spans="6:9">
      <x:c r="F27" t="s">
        <x:v>390</x:v>
      </x:c>
      <x:c r="G27" t="s">
        <x:v>375</x:v>
      </x:c>
      <x:c r="H27" t="s">
        <x:v>380</x:v>
      </x:c>
      <x:c r="I27" t="s">
        <x:v>387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단어_품사_빈도수_결과</vt:lpstr>
      <vt:lpstr>Sheet1</vt:lpstr>
    </vt:vector>
  </ep:TitlesOfParts>
  <ep:TotalTime>820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wjddu</dc:creator>
  <cp:lastModifiedBy>wjddu</cp:lastModifiedBy>
  <cp:revision>51</cp:revision>
  <dcterms:created xsi:type="dcterms:W3CDTF">2025-12-07T16:08:19.140</dcterms:created>
  <dcterms:modified xsi:type="dcterms:W3CDTF">2025-12-19T18:15:04.887</dcterms:modified>
  <cp:version>1300.0100.01</cp:version>
</cp:coreProperties>
</file>